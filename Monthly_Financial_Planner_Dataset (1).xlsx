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19200" windowHeight="7190"/>
  </bookViews>
  <sheets>
    <sheet name="Monthly_data" sheetId="1" r:id="rId1"/>
    <sheet name="Analysis" sheetId="2" r:id="rId2"/>
  </sheets>
  <calcPr calcId="152511"/>
</workbook>
</file>

<file path=xl/calcChain.xml><?xml version="1.0" encoding="utf-8"?>
<calcChain xmlns="http://schemas.openxmlformats.org/spreadsheetml/2006/main">
  <c r="C4" i="2" l="1"/>
  <c r="B4" i="2"/>
  <c r="J5" i="2" l="1"/>
  <c r="J4" i="2"/>
  <c r="J9" i="2"/>
  <c r="C5" i="2"/>
  <c r="C6" i="2"/>
  <c r="C7" i="2"/>
  <c r="C8" i="2"/>
  <c r="C9" i="2"/>
  <c r="C10" i="2"/>
  <c r="C11" i="2"/>
  <c r="C12" i="2"/>
  <c r="C13" i="2"/>
  <c r="C14" i="2"/>
  <c r="C15" i="2"/>
  <c r="C16" i="2"/>
  <c r="E16" i="2" s="1"/>
  <c r="C17" i="2"/>
  <c r="C18" i="2"/>
  <c r="C19" i="2"/>
  <c r="C20" i="2"/>
  <c r="C21" i="2"/>
  <c r="C22" i="2"/>
  <c r="C23" i="2"/>
  <c r="C24" i="2"/>
  <c r="E24" i="2" s="1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B5" i="2"/>
  <c r="B6" i="2"/>
  <c r="B7" i="2"/>
  <c r="B8" i="2"/>
  <c r="B9" i="2"/>
  <c r="D9" i="2" s="1"/>
  <c r="B10" i="2"/>
  <c r="D10" i="2" s="1"/>
  <c r="B11" i="2"/>
  <c r="D11" i="2" s="1"/>
  <c r="B12" i="2"/>
  <c r="E12" i="2" s="1"/>
  <c r="B13" i="2"/>
  <c r="B14" i="2"/>
  <c r="B15" i="2"/>
  <c r="D15" i="2" s="1"/>
  <c r="B16" i="2"/>
  <c r="B17" i="2"/>
  <c r="D17" i="2" s="1"/>
  <c r="B18" i="2"/>
  <c r="D18" i="2" s="1"/>
  <c r="B19" i="2"/>
  <c r="D19" i="2" s="1"/>
  <c r="B20" i="2"/>
  <c r="D20" i="2" s="1"/>
  <c r="B21" i="2"/>
  <c r="B22" i="2"/>
  <c r="B23" i="2"/>
  <c r="D23" i="2" s="1"/>
  <c r="B24" i="2"/>
  <c r="B25" i="2"/>
  <c r="D25" i="2" s="1"/>
  <c r="B26" i="2"/>
  <c r="B27" i="2"/>
  <c r="E27" i="2" s="1"/>
  <c r="B28" i="2"/>
  <c r="E28" i="2" s="1"/>
  <c r="B29" i="2"/>
  <c r="B30" i="2"/>
  <c r="B31" i="2"/>
  <c r="B32" i="2"/>
  <c r="B33" i="2"/>
  <c r="B34" i="2"/>
  <c r="D34" i="2" s="1"/>
  <c r="B35" i="2"/>
  <c r="E35" i="2" s="1"/>
  <c r="B36" i="2"/>
  <c r="E36" i="2" s="1"/>
  <c r="B37" i="2"/>
  <c r="B38" i="2"/>
  <c r="B39" i="2"/>
  <c r="D39" i="2" s="1"/>
  <c r="D6" i="2" l="1"/>
  <c r="D31" i="2"/>
  <c r="D7" i="2"/>
  <c r="D24" i="2"/>
  <c r="D16" i="2"/>
  <c r="D8" i="2"/>
  <c r="E38" i="2"/>
  <c r="E22" i="2"/>
  <c r="E18" i="2"/>
  <c r="E21" i="2"/>
  <c r="E5" i="2"/>
  <c r="E30" i="2"/>
  <c r="E14" i="2"/>
  <c r="E10" i="2"/>
  <c r="E37" i="2"/>
  <c r="E29" i="2"/>
  <c r="E13" i="2"/>
  <c r="E25" i="2"/>
  <c r="E17" i="2"/>
  <c r="E9" i="2"/>
  <c r="D38" i="2"/>
  <c r="D30" i="2"/>
  <c r="D22" i="2"/>
  <c r="D14" i="2"/>
  <c r="E26" i="2"/>
  <c r="D35" i="2"/>
  <c r="D27" i="2"/>
  <c r="E33" i="2"/>
  <c r="D26" i="2"/>
  <c r="E4" i="2"/>
  <c r="E32" i="2"/>
  <c r="E20" i="2"/>
  <c r="D33" i="2"/>
  <c r="D37" i="2"/>
  <c r="D29" i="2"/>
  <c r="D21" i="2"/>
  <c r="D13" i="2"/>
  <c r="D5" i="2"/>
  <c r="D36" i="2"/>
  <c r="D28" i="2"/>
  <c r="D12" i="2"/>
  <c r="E34" i="2"/>
  <c r="E39" i="2"/>
  <c r="E31" i="2"/>
  <c r="E23" i="2"/>
  <c r="E15" i="2"/>
  <c r="E7" i="2"/>
  <c r="E19" i="2"/>
  <c r="E11" i="2"/>
  <c r="E8" i="2"/>
  <c r="D32" i="2"/>
  <c r="D4" i="2"/>
  <c r="L3" i="2" s="1"/>
  <c r="E6" i="2"/>
</calcChain>
</file>

<file path=xl/sharedStrings.xml><?xml version="1.0" encoding="utf-8"?>
<sst xmlns="http://schemas.openxmlformats.org/spreadsheetml/2006/main" count="107" uniqueCount="66">
  <si>
    <t>Month</t>
  </si>
  <si>
    <t>Salary</t>
  </si>
  <si>
    <t>Freelance_Income</t>
  </si>
  <si>
    <t>Investment_Returns</t>
  </si>
  <si>
    <t>Bonus</t>
  </si>
  <si>
    <t>Rent</t>
  </si>
  <si>
    <t>Groceries</t>
  </si>
  <si>
    <t>Utilities</t>
  </si>
  <si>
    <t>Fuel</t>
  </si>
  <si>
    <t>Entertainment</t>
  </si>
  <si>
    <t>Shopping</t>
  </si>
  <si>
    <t>EMI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</si>
  <si>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</si>
  <si>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</si>
  <si>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</si>
  <si>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</si>
  <si>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</si>
  <si>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</si>
  <si>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</si>
  <si>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</si>
  <si>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</si>
  <si>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</si>
  <si>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</si>
  <si>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</si>
  <si>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</si>
  <si>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</si>
  <si>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</si>
  <si>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</si>
  <si>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</si>
  <si>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</si>
  <si>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</si>
  <si>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</si>
  <si>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</si>
  <si>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</si>
  <si>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</si>
  <si>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</si>
  <si>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</si>
  <si>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</si>
  <si>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</si>
  <si>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</si>
  <si>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</si>
  <si>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</si>
  <si>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</si>
  <si>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</si>
  <si>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</si>
  <si>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</si>
  <si>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</si>
  <si>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</si>
  <si>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INCOME SOURCES</t>
  </si>
  <si>
    <t>EXPENSE SOURCES</t>
  </si>
  <si>
    <t>Misc.</t>
  </si>
  <si>
    <t xml:space="preserve">Total Income </t>
  </si>
  <si>
    <t>MONTH</t>
  </si>
  <si>
    <t>Total Expense</t>
  </si>
  <si>
    <t>Spending Status</t>
  </si>
  <si>
    <t xml:space="preserve">Income </t>
  </si>
  <si>
    <t>Expense</t>
  </si>
  <si>
    <t xml:space="preserve">Find specific value </t>
  </si>
  <si>
    <t>Savings</t>
  </si>
  <si>
    <t>EMI CALCULATOR</t>
  </si>
  <si>
    <t>Loan Amount</t>
  </si>
  <si>
    <t>Rate</t>
  </si>
  <si>
    <t>Months</t>
  </si>
  <si>
    <t>MONTHLY FINANCIAL PLANNER</t>
  </si>
  <si>
    <t>MONTHLY FINANCIAL PLANNER ANALYSIS</t>
  </si>
  <si>
    <t xml:space="preserve">DATA TABLE ANALYSIS FOR SAVINGS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</si>
</sst>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₹&quot;\ #,##0;[Red]&quot;₹&quot;\ \-#,##0"/>
    <numFmt numFmtId="8" formatCode="&quot;₹&quot;\ #,##0.00;[Red]&quot;₹&quot;\ \-#,##0.00"/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/>
      <right/>
      <top/>
      <bottom style="thin">
        <color rgb="FF7030A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6" xfId="0" applyFont="1" applyFill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0" fillId="5" borderId="1" xfId="0" applyFill="1" applyBorder="1"/>
    <xf numFmtId="0" fontId="1" fillId="4" borderId="1" xfId="0" applyFont="1" applyFill="1" applyBorder="1" applyAlignment="1">
      <alignment horizontal="center" vertical="top"/>
    </xf>
    <xf numFmtId="0" fontId="0" fillId="4" borderId="0" xfId="0" applyFill="1"/>
    <xf numFmtId="164" fontId="0" fillId="0" borderId="0" xfId="0" applyNumberFormat="1"/>
    <xf numFmtId="0" fontId="0" fillId="0" borderId="8" xfId="0" applyBorder="1"/>
    <xf numFmtId="9" fontId="0" fillId="0" borderId="8" xfId="0" applyNumberFormat="1" applyBorder="1"/>
    <xf numFmtId="8" fontId="0" fillId="0" borderId="8" xfId="0" applyNumberFormat="1" applyBorder="1"/>
    <xf numFmtId="0" fontId="0" fillId="0" borderId="9" xfId="0" applyBorder="1"/>
    <xf numFmtId="164" fontId="0" fillId="0" borderId="9" xfId="0" applyNumberFormat="1" applyBorder="1"/>
    <xf numFmtId="0" fontId="0" fillId="6" borderId="0" xfId="0" applyFill="1" applyAlignment="1"/>
    <xf numFmtId="0" fontId="0" fillId="6" borderId="0" xfId="0" applyFill="1"/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0" fillId="7" borderId="0" xfId="0" applyFill="1"/>
    <xf numFmtId="164" fontId="0" fillId="0" borderId="10" xfId="0" applyNumberFormat="1" applyBorder="1"/>
    <xf numFmtId="6" fontId="1" fillId="0" borderId="10" xfId="0" applyNumberFormat="1" applyFont="1" applyBorder="1" applyAlignment="1">
      <alignment horizontal="center" vertical="center" wrapText="1"/>
    </xf>
    <xf numFmtId="0" fontId="1" fillId="0" borderId="10" xfId="0" applyFont="1" applyBorder="1"/>
    <xf numFmtId="6" fontId="0" fillId="0" borderId="10" xfId="0" applyNumberFormat="1" applyBorder="1" applyAlignment="1">
      <alignment vertical="center" wrapText="1"/>
    </xf>
    <xf numFmtId="0" fontId="0" fillId="0" borderId="10" xfId="0" applyBorder="1"/>
    <xf numFmtId="0" fontId="1" fillId="6" borderId="11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</cellXfs>
  <cellStyles count="1">
    <cellStyle name="Normal" xfId="0" builtinId="0"/>
  </cellStyles>
  <dxfs count="9"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Savings</a:t>
            </a:r>
            <a:r>
              <a:rPr lang="en-US" b="1" baseline="0"/>
              <a:t> per month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Analysis!$D$3</c:f>
              <c:strCache>
                <c:ptCount val="1"/>
                <c:pt idx="0">
                  <c:v>Savings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Analysis!$A$4:$A$39</c:f>
              <c:strCache>
                <c:ptCount val="36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</c:strCache>
            </c:strRef>
          </c:cat>
          <c:val>
            <c:numRef>
              <c:f>Analysis!$D$4:$D$39</c:f>
              <c:numCache>
                <c:formatCode>"₹"\ #,##0.00</c:formatCode>
                <c:ptCount val="36"/>
                <c:pt idx="0">
                  <c:v>21890</c:v>
                </c:pt>
                <c:pt idx="1">
                  <c:v>31536</c:v>
                </c:pt>
                <c:pt idx="2">
                  <c:v>469</c:v>
                </c:pt>
                <c:pt idx="3">
                  <c:v>33781</c:v>
                </c:pt>
                <c:pt idx="4">
                  <c:v>18829</c:v>
                </c:pt>
                <c:pt idx="5">
                  <c:v>22039</c:v>
                </c:pt>
                <c:pt idx="6">
                  <c:v>15641</c:v>
                </c:pt>
                <c:pt idx="7">
                  <c:v>33464</c:v>
                </c:pt>
                <c:pt idx="8">
                  <c:v>28991</c:v>
                </c:pt>
                <c:pt idx="9">
                  <c:v>17090</c:v>
                </c:pt>
                <c:pt idx="10">
                  <c:v>28156</c:v>
                </c:pt>
                <c:pt idx="11">
                  <c:v>25930</c:v>
                </c:pt>
                <c:pt idx="12">
                  <c:v>13357</c:v>
                </c:pt>
                <c:pt idx="13">
                  <c:v>23990</c:v>
                </c:pt>
                <c:pt idx="14">
                  <c:v>22871</c:v>
                </c:pt>
                <c:pt idx="15">
                  <c:v>3706</c:v>
                </c:pt>
                <c:pt idx="16">
                  <c:v>26720</c:v>
                </c:pt>
                <c:pt idx="17">
                  <c:v>38679</c:v>
                </c:pt>
                <c:pt idx="18">
                  <c:v>17574</c:v>
                </c:pt>
                <c:pt idx="19">
                  <c:v>14359</c:v>
                </c:pt>
                <c:pt idx="20">
                  <c:v>-24975</c:v>
                </c:pt>
                <c:pt idx="21">
                  <c:v>17770</c:v>
                </c:pt>
                <c:pt idx="22">
                  <c:v>12818</c:v>
                </c:pt>
                <c:pt idx="23">
                  <c:v>-21426</c:v>
                </c:pt>
                <c:pt idx="24">
                  <c:v>17084</c:v>
                </c:pt>
                <c:pt idx="25">
                  <c:v>16122</c:v>
                </c:pt>
                <c:pt idx="26">
                  <c:v>19660</c:v>
                </c:pt>
                <c:pt idx="27">
                  <c:v>19007</c:v>
                </c:pt>
                <c:pt idx="28">
                  <c:v>23114</c:v>
                </c:pt>
                <c:pt idx="29">
                  <c:v>23401</c:v>
                </c:pt>
                <c:pt idx="30">
                  <c:v>23111</c:v>
                </c:pt>
                <c:pt idx="31">
                  <c:v>23486</c:v>
                </c:pt>
                <c:pt idx="32">
                  <c:v>31082</c:v>
                </c:pt>
                <c:pt idx="33">
                  <c:v>28745</c:v>
                </c:pt>
                <c:pt idx="34">
                  <c:v>21552</c:v>
                </c:pt>
                <c:pt idx="35">
                  <c:v>28350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6094232"/>
        <c:axId val="28609462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Analysis!$B$3</c15:sqref>
                        </c15:formulaRef>
                      </c:ext>
                    </c:extLst>
                    <c:strCache>
                      <c:ptCount val="1"/>
                      <c:pt idx="0">
                        <c:v>Total Income 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Analysis!$A$4:$A$39</c15:sqref>
                        </c15:formulaRef>
                      </c:ext>
                    </c:extLst>
                    <c:strCache>
                      <c:ptCount val="36"/>
                      <c:pt idx="0">
                        <c:v>2022-01</c:v>
                      </c:pt>
                      <c:pt idx="1">
                        <c:v>2022-02</c:v>
                      </c:pt>
                      <c:pt idx="2">
                        <c:v>2022-03</c:v>
                      </c:pt>
                      <c:pt idx="3">
                        <c:v>2022-04</c:v>
                      </c:pt>
                      <c:pt idx="4">
                        <c:v>2022-05</c:v>
                      </c:pt>
                      <c:pt idx="5">
                        <c:v>2022-06</c:v>
                      </c:pt>
                      <c:pt idx="6">
                        <c:v>2022-07</c:v>
                      </c:pt>
                      <c:pt idx="7">
                        <c:v>2022-08</c:v>
                      </c:pt>
                      <c:pt idx="8">
                        <c:v>2022-09</c:v>
                      </c:pt>
                      <c:pt idx="9">
                        <c:v>2022-10</c:v>
                      </c:pt>
                      <c:pt idx="10">
                        <c:v>2022-11</c:v>
                      </c:pt>
                      <c:pt idx="11">
                        <c:v>2022-12</c:v>
                      </c:pt>
                      <c:pt idx="12">
                        <c:v>2023-01</c:v>
                      </c:pt>
                      <c:pt idx="13">
                        <c:v>2023-02</c:v>
                      </c:pt>
                      <c:pt idx="14">
                        <c:v>2023-03</c:v>
                      </c:pt>
                      <c:pt idx="15">
                        <c:v>2023-04</c:v>
                      </c:pt>
                      <c:pt idx="16">
                        <c:v>2023-05</c:v>
                      </c:pt>
                      <c:pt idx="17">
                        <c:v>2023-06</c:v>
                      </c:pt>
                      <c:pt idx="18">
                        <c:v>2023-07</c:v>
                      </c:pt>
                      <c:pt idx="19">
                        <c:v>2023-08</c:v>
                      </c:pt>
                      <c:pt idx="20">
                        <c:v>2023-09</c:v>
                      </c:pt>
                      <c:pt idx="21">
                        <c:v>2023-10</c:v>
                      </c:pt>
                      <c:pt idx="22">
                        <c:v>2023-11</c:v>
                      </c:pt>
                      <c:pt idx="23">
                        <c:v>2023-12</c:v>
                      </c:pt>
                      <c:pt idx="24">
                        <c:v>2024-01</c:v>
                      </c:pt>
                      <c:pt idx="25">
                        <c:v>2024-02</c:v>
                      </c:pt>
                      <c:pt idx="26">
                        <c:v>2024-03</c:v>
                      </c:pt>
                      <c:pt idx="27">
                        <c:v>2024-04</c:v>
                      </c:pt>
                      <c:pt idx="28">
                        <c:v>2024-05</c:v>
                      </c:pt>
                      <c:pt idx="29">
                        <c:v>2024-06</c:v>
                      </c:pt>
                      <c:pt idx="30">
                        <c:v>2024-07</c:v>
                      </c:pt>
                      <c:pt idx="31">
                        <c:v>2024-08</c:v>
                      </c:pt>
                      <c:pt idx="32">
                        <c:v>2024-09</c:v>
                      </c:pt>
                      <c:pt idx="33">
                        <c:v>2024-10</c:v>
                      </c:pt>
                      <c:pt idx="34">
                        <c:v>2024-11</c:v>
                      </c:pt>
                      <c:pt idx="35">
                        <c:v>2024-12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Analysis!$B$4:$B$39</c15:sqref>
                        </c15:formulaRef>
                      </c:ext>
                    </c:extLst>
                    <c:numCache>
                      <c:formatCode>"₹"\ #,##0.00</c:formatCode>
                      <c:ptCount val="36"/>
                      <c:pt idx="0">
                        <c:v>58498</c:v>
                      </c:pt>
                      <c:pt idx="1">
                        <c:v>67475</c:v>
                      </c:pt>
                      <c:pt idx="2">
                        <c:v>55534</c:v>
                      </c:pt>
                      <c:pt idx="3">
                        <c:v>70104</c:v>
                      </c:pt>
                      <c:pt idx="4">
                        <c:v>59868</c:v>
                      </c:pt>
                      <c:pt idx="5">
                        <c:v>66428</c:v>
                      </c:pt>
                      <c:pt idx="6">
                        <c:v>67015</c:v>
                      </c:pt>
                      <c:pt idx="7">
                        <c:v>70666</c:v>
                      </c:pt>
                      <c:pt idx="8">
                        <c:v>65460</c:v>
                      </c:pt>
                      <c:pt idx="9">
                        <c:v>52346</c:v>
                      </c:pt>
                      <c:pt idx="10">
                        <c:v>69630</c:v>
                      </c:pt>
                      <c:pt idx="11">
                        <c:v>57797</c:v>
                      </c:pt>
                      <c:pt idx="12">
                        <c:v>60673</c:v>
                      </c:pt>
                      <c:pt idx="13">
                        <c:v>67479</c:v>
                      </c:pt>
                      <c:pt idx="14">
                        <c:v>64228</c:v>
                      </c:pt>
                      <c:pt idx="15">
                        <c:v>62458</c:v>
                      </c:pt>
                      <c:pt idx="16">
                        <c:v>68052</c:v>
                      </c:pt>
                      <c:pt idx="17">
                        <c:v>73075</c:v>
                      </c:pt>
                      <c:pt idx="18">
                        <c:v>56156</c:v>
                      </c:pt>
                      <c:pt idx="19">
                        <c:v>54363</c:v>
                      </c:pt>
                      <c:pt idx="20">
                        <c:v>62999</c:v>
                      </c:pt>
                      <c:pt idx="21">
                        <c:v>63398</c:v>
                      </c:pt>
                      <c:pt idx="22">
                        <c:v>59629</c:v>
                      </c:pt>
                      <c:pt idx="23">
                        <c:v>56428</c:v>
                      </c:pt>
                      <c:pt idx="24">
                        <c:v>54367</c:v>
                      </c:pt>
                      <c:pt idx="25">
                        <c:v>58434</c:v>
                      </c:pt>
                      <c:pt idx="26">
                        <c:v>57699</c:v>
                      </c:pt>
                      <c:pt idx="27">
                        <c:v>60230</c:v>
                      </c:pt>
                      <c:pt idx="28">
                        <c:v>58965</c:v>
                      </c:pt>
                      <c:pt idx="29">
                        <c:v>59701</c:v>
                      </c:pt>
                      <c:pt idx="30">
                        <c:v>62688</c:v>
                      </c:pt>
                      <c:pt idx="31">
                        <c:v>64404</c:v>
                      </c:pt>
                      <c:pt idx="32">
                        <c:v>68864</c:v>
                      </c:pt>
                      <c:pt idx="33">
                        <c:v>69991</c:v>
                      </c:pt>
                      <c:pt idx="34">
                        <c:v>60911</c:v>
                      </c:pt>
                      <c:pt idx="35">
                        <c:v>68689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Analysis!$C$3</c15:sqref>
                        </c15:formulaRef>
                      </c:ext>
                    </c:extLst>
                    <c:strCache>
                      <c:ptCount val="1"/>
                      <c:pt idx="0">
                        <c:v>Total Expense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Analysis!$A$4:$A$39</c15:sqref>
                        </c15:formulaRef>
                      </c:ext>
                    </c:extLst>
                    <c:strCache>
                      <c:ptCount val="36"/>
                      <c:pt idx="0">
                        <c:v>2022-01</c:v>
                      </c:pt>
                      <c:pt idx="1">
                        <c:v>2022-02</c:v>
                      </c:pt>
                      <c:pt idx="2">
                        <c:v>2022-03</c:v>
                      </c:pt>
                      <c:pt idx="3">
                        <c:v>2022-04</c:v>
                      </c:pt>
                      <c:pt idx="4">
                        <c:v>2022-05</c:v>
                      </c:pt>
                      <c:pt idx="5">
                        <c:v>2022-06</c:v>
                      </c:pt>
                      <c:pt idx="6">
                        <c:v>2022-07</c:v>
                      </c:pt>
                      <c:pt idx="7">
                        <c:v>2022-08</c:v>
                      </c:pt>
                      <c:pt idx="8">
                        <c:v>2022-09</c:v>
                      </c:pt>
                      <c:pt idx="9">
                        <c:v>2022-10</c:v>
                      </c:pt>
                      <c:pt idx="10">
                        <c:v>2022-11</c:v>
                      </c:pt>
                      <c:pt idx="11">
                        <c:v>2022-12</c:v>
                      </c:pt>
                      <c:pt idx="12">
                        <c:v>2023-01</c:v>
                      </c:pt>
                      <c:pt idx="13">
                        <c:v>2023-02</c:v>
                      </c:pt>
                      <c:pt idx="14">
                        <c:v>2023-03</c:v>
                      </c:pt>
                      <c:pt idx="15">
                        <c:v>2023-04</c:v>
                      </c:pt>
                      <c:pt idx="16">
                        <c:v>2023-05</c:v>
                      </c:pt>
                      <c:pt idx="17">
                        <c:v>2023-06</c:v>
                      </c:pt>
                      <c:pt idx="18">
                        <c:v>2023-07</c:v>
                      </c:pt>
                      <c:pt idx="19">
                        <c:v>2023-08</c:v>
                      </c:pt>
                      <c:pt idx="20">
                        <c:v>2023-09</c:v>
                      </c:pt>
                      <c:pt idx="21">
                        <c:v>2023-10</c:v>
                      </c:pt>
                      <c:pt idx="22">
                        <c:v>2023-11</c:v>
                      </c:pt>
                      <c:pt idx="23">
                        <c:v>2023-12</c:v>
                      </c:pt>
                      <c:pt idx="24">
                        <c:v>2024-01</c:v>
                      </c:pt>
                      <c:pt idx="25">
                        <c:v>2024-02</c:v>
                      </c:pt>
                      <c:pt idx="26">
                        <c:v>2024-03</c:v>
                      </c:pt>
                      <c:pt idx="27">
                        <c:v>2024-04</c:v>
                      </c:pt>
                      <c:pt idx="28">
                        <c:v>2024-05</c:v>
                      </c:pt>
                      <c:pt idx="29">
                        <c:v>2024-06</c:v>
                      </c:pt>
                      <c:pt idx="30">
                        <c:v>2024-07</c:v>
                      </c:pt>
                      <c:pt idx="31">
                        <c:v>2024-08</c:v>
                      </c:pt>
                      <c:pt idx="32">
                        <c:v>2024-09</c:v>
                      </c:pt>
                      <c:pt idx="33">
                        <c:v>2024-10</c:v>
                      </c:pt>
                      <c:pt idx="34">
                        <c:v>2024-11</c:v>
                      </c:pt>
                      <c:pt idx="35">
                        <c:v>2024-12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Analysis!$C$4:$C$39</c15:sqref>
                        </c15:formulaRef>
                      </c:ext>
                    </c:extLst>
                    <c:numCache>
                      <c:formatCode>"₹"\ #,##0.00</c:formatCode>
                      <c:ptCount val="36"/>
                      <c:pt idx="0">
                        <c:v>36608</c:v>
                      </c:pt>
                      <c:pt idx="1">
                        <c:v>35939</c:v>
                      </c:pt>
                      <c:pt idx="2">
                        <c:v>55065</c:v>
                      </c:pt>
                      <c:pt idx="3">
                        <c:v>36323</c:v>
                      </c:pt>
                      <c:pt idx="4">
                        <c:v>41039</c:v>
                      </c:pt>
                      <c:pt idx="5">
                        <c:v>44389</c:v>
                      </c:pt>
                      <c:pt idx="6">
                        <c:v>51374</c:v>
                      </c:pt>
                      <c:pt idx="7">
                        <c:v>37202</c:v>
                      </c:pt>
                      <c:pt idx="8">
                        <c:v>36469</c:v>
                      </c:pt>
                      <c:pt idx="9">
                        <c:v>35256</c:v>
                      </c:pt>
                      <c:pt idx="10">
                        <c:v>41474</c:v>
                      </c:pt>
                      <c:pt idx="11">
                        <c:v>31867</c:v>
                      </c:pt>
                      <c:pt idx="12">
                        <c:v>47316</c:v>
                      </c:pt>
                      <c:pt idx="13">
                        <c:v>43489</c:v>
                      </c:pt>
                      <c:pt idx="14">
                        <c:v>41357</c:v>
                      </c:pt>
                      <c:pt idx="15">
                        <c:v>58752</c:v>
                      </c:pt>
                      <c:pt idx="16">
                        <c:v>41332</c:v>
                      </c:pt>
                      <c:pt idx="17">
                        <c:v>34396</c:v>
                      </c:pt>
                      <c:pt idx="18">
                        <c:v>38582</c:v>
                      </c:pt>
                      <c:pt idx="19">
                        <c:v>40004</c:v>
                      </c:pt>
                      <c:pt idx="20">
                        <c:v>87974</c:v>
                      </c:pt>
                      <c:pt idx="21">
                        <c:v>45628</c:v>
                      </c:pt>
                      <c:pt idx="22">
                        <c:v>46811</c:v>
                      </c:pt>
                      <c:pt idx="23">
                        <c:v>77854</c:v>
                      </c:pt>
                      <c:pt idx="24">
                        <c:v>37283</c:v>
                      </c:pt>
                      <c:pt idx="25">
                        <c:v>42312</c:v>
                      </c:pt>
                      <c:pt idx="26">
                        <c:v>38039</c:v>
                      </c:pt>
                      <c:pt idx="27">
                        <c:v>41223</c:v>
                      </c:pt>
                      <c:pt idx="28">
                        <c:v>35851</c:v>
                      </c:pt>
                      <c:pt idx="29">
                        <c:v>36300</c:v>
                      </c:pt>
                      <c:pt idx="30">
                        <c:v>39577</c:v>
                      </c:pt>
                      <c:pt idx="31">
                        <c:v>40918</c:v>
                      </c:pt>
                      <c:pt idx="32">
                        <c:v>37782</c:v>
                      </c:pt>
                      <c:pt idx="33">
                        <c:v>41246</c:v>
                      </c:pt>
                      <c:pt idx="34">
                        <c:v>39359</c:v>
                      </c:pt>
                      <c:pt idx="35">
                        <c:v>40339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286094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094624"/>
        <c:crosses val="autoZero"/>
        <c:auto val="1"/>
        <c:lblAlgn val="ctr"/>
        <c:lblOffset val="100"/>
        <c:noMultiLvlLbl val="0"/>
      </c:catAx>
      <c:valAx>
        <c:axId val="286094624"/>
        <c:scaling>
          <c:orientation val="minMax"/>
        </c:scaling>
        <c:delete val="0"/>
        <c:axPos val="l"/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094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85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/>
              <a:t>Expenses</a:t>
            </a:r>
            <a:r>
              <a:rPr lang="en-IN" sz="1100" b="1" baseline="0"/>
              <a:t> per month(jan-jun 2022)</a:t>
            </a:r>
            <a:endParaRPr lang="en-IN" sz="11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Monthly_data!$F$3</c:f>
              <c:strCache>
                <c:ptCount val="1"/>
                <c:pt idx="0">
                  <c:v>Rent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Monthly_data!$F$4:$F$9</c:f>
              <c:numCache>
                <c:formatCode>"₹"\ #,##0.00</c:formatCode>
                <c:ptCount val="6"/>
                <c:pt idx="0">
                  <c:v>14264</c:v>
                </c:pt>
                <c:pt idx="1">
                  <c:v>12763</c:v>
                </c:pt>
                <c:pt idx="2">
                  <c:v>14235</c:v>
                </c:pt>
                <c:pt idx="3">
                  <c:v>12379</c:v>
                </c:pt>
                <c:pt idx="4">
                  <c:v>12492</c:v>
                </c:pt>
                <c:pt idx="5">
                  <c:v>13180</c:v>
                </c:pt>
              </c:numCache>
            </c:numRef>
          </c:val>
        </c:ser>
        <c:ser>
          <c:idx val="1"/>
          <c:order val="1"/>
          <c:tx>
            <c:strRef>
              <c:f>Monthly_data!$G$3</c:f>
              <c:strCache>
                <c:ptCount val="1"/>
                <c:pt idx="0">
                  <c:v>Groceries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Monthly_data!$G$4:$G$9</c:f>
              <c:numCache>
                <c:formatCode>"₹"\ #,##0.00</c:formatCode>
                <c:ptCount val="6"/>
                <c:pt idx="0">
                  <c:v>5690</c:v>
                </c:pt>
                <c:pt idx="1">
                  <c:v>6840</c:v>
                </c:pt>
                <c:pt idx="2">
                  <c:v>4028</c:v>
                </c:pt>
                <c:pt idx="3">
                  <c:v>3502</c:v>
                </c:pt>
                <c:pt idx="4">
                  <c:v>7493</c:v>
                </c:pt>
                <c:pt idx="5">
                  <c:v>3870</c:v>
                </c:pt>
              </c:numCache>
            </c:numRef>
          </c:val>
        </c:ser>
        <c:ser>
          <c:idx val="2"/>
          <c:order val="2"/>
          <c:tx>
            <c:strRef>
              <c:f>Monthly_data!$H$3</c:f>
              <c:strCache>
                <c:ptCount val="1"/>
                <c:pt idx="0">
                  <c:v>Utilities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Monthly_data!$H$4:$H$9</c:f>
              <c:numCache>
                <c:formatCode>"₹"\ #,##0.00</c:formatCode>
                <c:ptCount val="6"/>
                <c:pt idx="0">
                  <c:v>3479</c:v>
                </c:pt>
                <c:pt idx="1">
                  <c:v>3434</c:v>
                </c:pt>
                <c:pt idx="2">
                  <c:v>2648</c:v>
                </c:pt>
                <c:pt idx="3">
                  <c:v>2317</c:v>
                </c:pt>
                <c:pt idx="4">
                  <c:v>3257</c:v>
                </c:pt>
                <c:pt idx="5">
                  <c:v>2683</c:v>
                </c:pt>
              </c:numCache>
            </c:numRef>
          </c:val>
        </c:ser>
        <c:ser>
          <c:idx val="3"/>
          <c:order val="3"/>
          <c:tx>
            <c:strRef>
              <c:f>Monthly_data!$I$3</c:f>
              <c:strCache>
                <c:ptCount val="1"/>
                <c:pt idx="0">
                  <c:v>Fuel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Monthly_data!$I$4:$I$9</c:f>
              <c:numCache>
                <c:formatCode>"₹"\ #,##0.00</c:formatCode>
                <c:ptCount val="6"/>
                <c:pt idx="0">
                  <c:v>1766</c:v>
                </c:pt>
                <c:pt idx="1">
                  <c:v>1293</c:v>
                </c:pt>
                <c:pt idx="2">
                  <c:v>3327</c:v>
                </c:pt>
                <c:pt idx="3">
                  <c:v>3931</c:v>
                </c:pt>
                <c:pt idx="4">
                  <c:v>1197</c:v>
                </c:pt>
                <c:pt idx="5">
                  <c:v>2930</c:v>
                </c:pt>
              </c:numCache>
            </c:numRef>
          </c:val>
        </c:ser>
        <c:ser>
          <c:idx val="4"/>
          <c:order val="4"/>
          <c:tx>
            <c:strRef>
              <c:f>Monthly_data!$J$3</c:f>
              <c:strCache>
                <c:ptCount val="1"/>
                <c:pt idx="0">
                  <c:v>Entertainment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Monthly_data!$J$4:$J$9</c:f>
              <c:numCache>
                <c:formatCode>"₹"\ #,##0.00</c:formatCode>
                <c:ptCount val="6"/>
                <c:pt idx="0">
                  <c:v>3191</c:v>
                </c:pt>
                <c:pt idx="1">
                  <c:v>3393</c:v>
                </c:pt>
                <c:pt idx="2">
                  <c:v>1623</c:v>
                </c:pt>
                <c:pt idx="3">
                  <c:v>2016</c:v>
                </c:pt>
                <c:pt idx="4">
                  <c:v>4643</c:v>
                </c:pt>
                <c:pt idx="5">
                  <c:v>1880</c:v>
                </c:pt>
              </c:numCache>
            </c:numRef>
          </c:val>
        </c:ser>
        <c:ser>
          <c:idx val="5"/>
          <c:order val="5"/>
          <c:tx>
            <c:strRef>
              <c:f>Monthly_data!$K$3</c:f>
              <c:strCache>
                <c:ptCount val="1"/>
                <c:pt idx="0">
                  <c:v>Shopping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Monthly_data!$K$4:$K$9</c:f>
              <c:numCache>
                <c:formatCode>"₹"\ #,##0.00</c:formatCode>
                <c:ptCount val="6"/>
                <c:pt idx="0">
                  <c:v>2098</c:v>
                </c:pt>
                <c:pt idx="1">
                  <c:v>4200</c:v>
                </c:pt>
                <c:pt idx="2">
                  <c:v>4961</c:v>
                </c:pt>
                <c:pt idx="3">
                  <c:v>6973</c:v>
                </c:pt>
                <c:pt idx="4">
                  <c:v>6433</c:v>
                </c:pt>
                <c:pt idx="5">
                  <c:v>5777</c:v>
                </c:pt>
              </c:numCache>
            </c:numRef>
          </c:val>
        </c:ser>
        <c:ser>
          <c:idx val="6"/>
          <c:order val="6"/>
          <c:tx>
            <c:strRef>
              <c:f>Monthly_data!$L$3</c:f>
              <c:strCache>
                <c:ptCount val="1"/>
                <c:pt idx="0">
                  <c:v>EMI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Monthly_data!$L$4:$L$9</c:f>
              <c:numCache>
                <c:formatCode>"₹"\ #,##0.00</c:formatCode>
                <c:ptCount val="6"/>
                <c:pt idx="0">
                  <c:v>6120</c:v>
                </c:pt>
                <c:pt idx="1">
                  <c:v>3016</c:v>
                </c:pt>
                <c:pt idx="2">
                  <c:v>4243</c:v>
                </c:pt>
                <c:pt idx="3">
                  <c:v>5205</c:v>
                </c:pt>
                <c:pt idx="4">
                  <c:v>5524</c:v>
                </c:pt>
                <c:pt idx="5">
                  <c:v>4069</c:v>
                </c:pt>
              </c:numCache>
            </c:numRef>
          </c:val>
        </c:ser>
        <c:ser>
          <c:idx val="7"/>
          <c:order val="7"/>
          <c:tx>
            <c:strRef>
              <c:f>Monthly_data!$M$3</c:f>
              <c:strCache>
                <c:ptCount val="1"/>
                <c:pt idx="0">
                  <c:v>Misc.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Monthly_data!$M$4:$M$9</c:f>
              <c:numCache>
                <c:formatCode>"₹"\ #,##0.00</c:formatCode>
                <c:ptCount val="6"/>
                <c:pt idx="0">
                  <c:v>0</c:v>
                </c:pt>
                <c:pt idx="1">
                  <c:v>1000</c:v>
                </c:pt>
                <c:pt idx="2">
                  <c:v>20000</c:v>
                </c:pt>
                <c:pt idx="3">
                  <c:v>0</c:v>
                </c:pt>
                <c:pt idx="4">
                  <c:v>0</c:v>
                </c:pt>
                <c:pt idx="5">
                  <c:v>10000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6092272"/>
        <c:axId val="286093448"/>
      </c:barChart>
      <c:catAx>
        <c:axId val="286092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093448"/>
        <c:crosses val="autoZero"/>
        <c:auto val="1"/>
        <c:lblAlgn val="ctr"/>
        <c:lblOffset val="100"/>
        <c:noMultiLvlLbl val="0"/>
      </c:catAx>
      <c:valAx>
        <c:axId val="286093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09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85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baseline="0">
                <a:effectLst/>
              </a:rPr>
              <a:t>Expenses per month(jul-dec 2022)</a:t>
            </a:r>
            <a:endParaRPr lang="en-IN" sz="12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Monthly_data!$F$10:$F$15</c:f>
              <c:numCache>
                <c:formatCode>"₹"\ #,##0.00</c:formatCode>
                <c:ptCount val="6"/>
                <c:pt idx="0">
                  <c:v>14062</c:v>
                </c:pt>
                <c:pt idx="1">
                  <c:v>12064</c:v>
                </c:pt>
                <c:pt idx="2">
                  <c:v>14568</c:v>
                </c:pt>
                <c:pt idx="3">
                  <c:v>13367</c:v>
                </c:pt>
                <c:pt idx="4">
                  <c:v>13152</c:v>
                </c:pt>
                <c:pt idx="5">
                  <c:v>14027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Monthly_data!$G$10:$G$15</c:f>
              <c:numCache>
                <c:formatCode>"₹"\ #,##0.00</c:formatCode>
                <c:ptCount val="6"/>
                <c:pt idx="0">
                  <c:v>7488</c:v>
                </c:pt>
                <c:pt idx="1">
                  <c:v>3206</c:v>
                </c:pt>
                <c:pt idx="2">
                  <c:v>4484</c:v>
                </c:pt>
                <c:pt idx="3">
                  <c:v>3863</c:v>
                </c:pt>
                <c:pt idx="4">
                  <c:v>5790</c:v>
                </c:pt>
                <c:pt idx="5">
                  <c:v>3563</c:v>
                </c:pt>
              </c:numCache>
            </c:numRef>
          </c:val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Monthly_data!$H$10:$H$15</c:f>
              <c:numCache>
                <c:formatCode>"₹"\ #,##0.00</c:formatCode>
                <c:ptCount val="6"/>
                <c:pt idx="0">
                  <c:v>2663</c:v>
                </c:pt>
                <c:pt idx="1">
                  <c:v>3998</c:v>
                </c:pt>
                <c:pt idx="2">
                  <c:v>3631</c:v>
                </c:pt>
                <c:pt idx="3">
                  <c:v>3495</c:v>
                </c:pt>
                <c:pt idx="4">
                  <c:v>3136</c:v>
                </c:pt>
                <c:pt idx="5">
                  <c:v>3853</c:v>
                </c:pt>
              </c:numCache>
            </c:numRef>
          </c:val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Monthly_data!$I$10:$I$15</c:f>
              <c:numCache>
                <c:formatCode>"₹"\ #,##0.00</c:formatCode>
                <c:ptCount val="6"/>
                <c:pt idx="0">
                  <c:v>3799</c:v>
                </c:pt>
                <c:pt idx="1">
                  <c:v>3191</c:v>
                </c:pt>
                <c:pt idx="2">
                  <c:v>1608</c:v>
                </c:pt>
                <c:pt idx="3">
                  <c:v>2147</c:v>
                </c:pt>
                <c:pt idx="4">
                  <c:v>1186</c:v>
                </c:pt>
                <c:pt idx="5">
                  <c:v>3511</c:v>
                </c:pt>
              </c:numCache>
            </c:numRef>
          </c:val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Monthly_data!$J$10:$J$15</c:f>
              <c:numCache>
                <c:formatCode>"₹"\ #,##0.00</c:formatCode>
                <c:ptCount val="6"/>
                <c:pt idx="0">
                  <c:v>3049</c:v>
                </c:pt>
                <c:pt idx="1">
                  <c:v>3944</c:v>
                </c:pt>
                <c:pt idx="2">
                  <c:v>2327</c:v>
                </c:pt>
                <c:pt idx="3">
                  <c:v>3301</c:v>
                </c:pt>
                <c:pt idx="4">
                  <c:v>4723</c:v>
                </c:pt>
                <c:pt idx="5">
                  <c:v>1452</c:v>
                </c:pt>
              </c:numCache>
            </c:numRef>
          </c:val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Monthly_data!$K$10:$K$15</c:f>
              <c:numCache>
                <c:formatCode>"₹"\ #,##0.00</c:formatCode>
                <c:ptCount val="6"/>
                <c:pt idx="0">
                  <c:v>4869</c:v>
                </c:pt>
                <c:pt idx="1">
                  <c:v>5234</c:v>
                </c:pt>
                <c:pt idx="2">
                  <c:v>5791</c:v>
                </c:pt>
                <c:pt idx="3">
                  <c:v>2956</c:v>
                </c:pt>
                <c:pt idx="4">
                  <c:v>6067</c:v>
                </c:pt>
                <c:pt idx="5">
                  <c:v>2160</c:v>
                </c:pt>
              </c:numCache>
            </c:numRef>
          </c:val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Monthly_data!$L$10:$L$15</c:f>
              <c:numCache>
                <c:formatCode>"₹"\ #,##0.00</c:formatCode>
                <c:ptCount val="6"/>
                <c:pt idx="0">
                  <c:v>6444</c:v>
                </c:pt>
                <c:pt idx="1">
                  <c:v>5565</c:v>
                </c:pt>
                <c:pt idx="2">
                  <c:v>4060</c:v>
                </c:pt>
                <c:pt idx="3">
                  <c:v>5327</c:v>
                </c:pt>
                <c:pt idx="4">
                  <c:v>6420</c:v>
                </c:pt>
                <c:pt idx="5">
                  <c:v>3301</c:v>
                </c:pt>
              </c:numCache>
            </c:numRef>
          </c:val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Monthly_data!$M$10:$M$15</c:f>
              <c:numCache>
                <c:formatCode>"₹"\ #,##0.00</c:formatCode>
                <c:ptCount val="6"/>
                <c:pt idx="0">
                  <c:v>9000</c:v>
                </c:pt>
                <c:pt idx="1">
                  <c:v>0</c:v>
                </c:pt>
                <c:pt idx="2">
                  <c:v>0</c:v>
                </c:pt>
                <c:pt idx="3">
                  <c:v>800</c:v>
                </c:pt>
                <c:pt idx="4">
                  <c:v>1000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6095800"/>
        <c:axId val="288479280"/>
      </c:barChart>
      <c:catAx>
        <c:axId val="2860958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479280"/>
        <c:crosses val="autoZero"/>
        <c:auto val="1"/>
        <c:lblAlgn val="ctr"/>
        <c:lblOffset val="100"/>
        <c:noMultiLvlLbl val="0"/>
      </c:catAx>
      <c:valAx>
        <c:axId val="28847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095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85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206374</xdr:colOff>
      <xdr:row>10</xdr:row>
      <xdr:rowOff>44450</xdr:rowOff>
    </xdr:from>
    <xdr:to>
      <xdr:col>14</xdr:col>
      <xdr:colOff>349249</xdr:colOff>
      <xdr:row>25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209550</xdr:colOff>
      <xdr:row>25</xdr:row>
      <xdr:rowOff>69850</xdr:rowOff>
    </xdr:from>
    <xdr:to>
      <xdr:col>9</xdr:col>
      <xdr:colOff>368300</xdr:colOff>
      <xdr:row>38</xdr:row>
      <xdr:rowOff>57150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438150</xdr:colOff>
      <xdr:row>25</xdr:row>
      <xdr:rowOff>95250</xdr:rowOff>
    </xdr:from>
    <xdr:to>
      <xdr:col>15</xdr:col>
      <xdr:colOff>25400</xdr:colOff>
      <xdr:row>38</xdr:row>
      <xdr:rowOff>57150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777285</xdr:colOff>
      <xdr:row>2</xdr:row>
      <xdr:rowOff>0</xdr:rowOff>
    </xdr:from>
    <xdr:to>
      <xdr:col>6</xdr:col>
      <xdr:colOff>914506</xdr:colOff>
      <xdr:row>3</xdr:row>
      <xdr:rowOff>501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5546" y="375478"/>
          <a:ext cx="137221" cy="193762"/>
        </a:xfrm>
        <a:prstGeom prst="rect">
          <a:avLst/>
        </a:prstGeom>
      </xdr:spPr>
    </xdr:pic>
    <xdr:clientData/>
  </xdr:twoCellAnchor>
  <xdr:twoCellAnchor editAs="oneCell">
    <xdr:from>
      <xdr:col>6</xdr:col>
      <xdr:colOff>709474</xdr:colOff>
      <xdr:row>6</xdr:row>
      <xdr:rowOff>20149</xdr:rowOff>
    </xdr:from>
    <xdr:to>
      <xdr:col>6</xdr:col>
      <xdr:colOff>946908</xdr:colOff>
      <xdr:row>7</xdr:row>
      <xdr:rowOff>8832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1324" y="1156799"/>
          <a:ext cx="237434" cy="17918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2" name="Table2" displayName="Table2" ref="B3:E43" totalsRowShown="0" headerRowDxfId="8" headerRowBorderDxfId="7" tableBorderDxfId="6">
  <autoFilter ref="B3:E43"/>
  <tableColumns count="4">
    <tableColumn id="1" name="Salary"/>
    <tableColumn id="2" name="Freelance_Income"/>
    <tableColumn id="3" name="Investment_Returns"/>
    <tableColumn id="4" name="Bonus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F3:M43" totalsRowShown="0" headerRowDxfId="5">
  <autoFilter ref="F3:M43"/>
  <tableColumns count="8">
    <tableColumn id="1" name="Rent"/>
    <tableColumn id="2" name="Groceries"/>
    <tableColumn id="3" name="Utilities"/>
    <tableColumn id="4" name="Fuel"/>
    <tableColumn id="5" name="Entertainment"/>
    <tableColumn id="6" name="Shopping"/>
    <tableColumn id="7" name="EMI"/>
    <tableColumn id="8" name="Misc.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3:E39" totalsRowShown="0">
  <autoFilter ref="A3:E39"/>
  <tableColumns count="5">
    <tableColumn id="1" name="Month"/>
    <tableColumn id="2" name="Total Income " dataDxfId="4">
      <calculatedColumnFormula>SUM(Table2[#This Row])</calculatedColumnFormula>
    </tableColumn>
    <tableColumn id="3" name="Total Expense" dataDxfId="3">
      <calculatedColumnFormula>SUM(Table3[#This Row])</calculatedColumnFormula>
    </tableColumn>
    <tableColumn id="4" name="Savings" dataDxfId="2">
      <calculatedColumnFormula>B4-C4</calculatedColumnFormula>
    </tableColumn>
    <tableColumn id="5" name="Spending Status">
      <calculatedColumnFormula>IF(B4&lt;C4, "Overspending", "Within Budget")</calculatedColumnFormula>
    </tableColumn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tabSelected="1" workbookViewId="0">
      <selection sqref="A1:M1"/>
    </sheetView>
  </sheetViews>
  <sheetFormatPr defaultRowHeight="14.5" x14ac:dyDescent="0.35"/>
  <cols>
    <col min="2" max="2" width="10.26953125" bestFit="1" customWidth="1"/>
    <col min="3" max="3" width="20.7265625" bestFit="1" customWidth="1"/>
    <col min="4" max="4" width="20.6328125" customWidth="1"/>
    <col min="5" max="6" width="10.26953125" bestFit="1" customWidth="1"/>
    <col min="7" max="7" width="14.36328125" customWidth="1"/>
    <col min="8" max="8" width="12.26953125" customWidth="1"/>
    <col min="9" max="9" width="13.26953125" customWidth="1"/>
    <col min="10" max="10" width="15.08984375" customWidth="1"/>
    <col min="11" max="11" width="12.81640625" customWidth="1"/>
    <col min="12" max="12" width="10.6328125" customWidth="1"/>
    <col min="13" max="13" width="10.26953125" bestFit="1" customWidth="1"/>
  </cols>
  <sheetData>
    <row r="1" spans="1:13" ht="26" x14ac:dyDescent="0.6">
      <c r="A1" s="30" t="s">
        <v>63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13" x14ac:dyDescent="0.35">
      <c r="A2" s="5" t="s">
        <v>52</v>
      </c>
      <c r="B2" s="15" t="s">
        <v>48</v>
      </c>
      <c r="C2" s="16"/>
      <c r="D2" s="16"/>
      <c r="E2" s="17"/>
      <c r="F2" s="18" t="s">
        <v>49</v>
      </c>
      <c r="G2" s="19"/>
      <c r="H2" s="19"/>
      <c r="I2" s="19"/>
      <c r="J2" s="19"/>
      <c r="K2" s="19"/>
      <c r="L2" s="19"/>
      <c r="M2" s="4"/>
    </row>
    <row r="3" spans="1:13" x14ac:dyDescent="0.35">
      <c r="A3" s="6"/>
      <c r="B3" s="3" t="s">
        <v>1</v>
      </c>
      <c r="C3" s="3" t="s">
        <v>2</v>
      </c>
      <c r="D3" s="3" t="s">
        <v>3</v>
      </c>
      <c r="E3" s="3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2" t="s">
        <v>50</v>
      </c>
    </row>
    <row r="4" spans="1:13" x14ac:dyDescent="0.35">
      <c r="A4" s="6" t="s">
        <v>12</v>
      </c>
      <c r="B4" s="7">
        <v>52270</v>
      </c>
      <c r="C4" s="7">
        <v>2975</v>
      </c>
      <c r="D4" s="7">
        <v>3253</v>
      </c>
      <c r="E4" s="7">
        <v>0</v>
      </c>
      <c r="F4" s="7">
        <v>14264</v>
      </c>
      <c r="G4" s="7">
        <v>5690</v>
      </c>
      <c r="H4" s="7">
        <v>3479</v>
      </c>
      <c r="I4" s="7">
        <v>1766</v>
      </c>
      <c r="J4" s="7">
        <v>3191</v>
      </c>
      <c r="K4" s="7">
        <v>2098</v>
      </c>
      <c r="L4" s="7">
        <v>6120</v>
      </c>
      <c r="M4" s="7">
        <v>0</v>
      </c>
    </row>
    <row r="5" spans="1:13" x14ac:dyDescent="0.35">
      <c r="A5" s="6" t="s">
        <v>13</v>
      </c>
      <c r="B5" s="7">
        <v>45860</v>
      </c>
      <c r="C5" s="7">
        <v>3806</v>
      </c>
      <c r="D5" s="7">
        <v>4152</v>
      </c>
      <c r="E5" s="7">
        <v>13657</v>
      </c>
      <c r="F5" s="7">
        <v>12763</v>
      </c>
      <c r="G5" s="7">
        <v>6840</v>
      </c>
      <c r="H5" s="7">
        <v>3434</v>
      </c>
      <c r="I5" s="7">
        <v>1293</v>
      </c>
      <c r="J5" s="7">
        <v>3393</v>
      </c>
      <c r="K5" s="7">
        <v>4200</v>
      </c>
      <c r="L5" s="7">
        <v>3016</v>
      </c>
      <c r="M5" s="7">
        <v>1000</v>
      </c>
    </row>
    <row r="6" spans="1:13" x14ac:dyDescent="0.35">
      <c r="A6" s="6" t="s">
        <v>14</v>
      </c>
      <c r="B6" s="7">
        <v>50390</v>
      </c>
      <c r="C6" s="7">
        <v>2189</v>
      </c>
      <c r="D6" s="7">
        <v>2955</v>
      </c>
      <c r="E6" s="7">
        <v>0</v>
      </c>
      <c r="F6" s="7">
        <v>14235</v>
      </c>
      <c r="G6" s="7">
        <v>4028</v>
      </c>
      <c r="H6" s="7">
        <v>2648</v>
      </c>
      <c r="I6" s="7">
        <v>3327</v>
      </c>
      <c r="J6" s="7">
        <v>1623</v>
      </c>
      <c r="K6" s="7">
        <v>4961</v>
      </c>
      <c r="L6" s="7">
        <v>4243</v>
      </c>
      <c r="M6" s="7">
        <v>20000</v>
      </c>
    </row>
    <row r="7" spans="1:13" x14ac:dyDescent="0.35">
      <c r="A7" s="6" t="s">
        <v>15</v>
      </c>
      <c r="B7" s="7">
        <v>58418</v>
      </c>
      <c r="C7" s="7">
        <v>9101</v>
      </c>
      <c r="D7" s="7">
        <v>2585</v>
      </c>
      <c r="E7" s="7">
        <v>0</v>
      </c>
      <c r="F7" s="7">
        <v>12379</v>
      </c>
      <c r="G7" s="7">
        <v>3502</v>
      </c>
      <c r="H7" s="7">
        <v>2317</v>
      </c>
      <c r="I7" s="7">
        <v>3931</v>
      </c>
      <c r="J7" s="7">
        <v>2016</v>
      </c>
      <c r="K7" s="7">
        <v>6973</v>
      </c>
      <c r="L7" s="7">
        <v>5205</v>
      </c>
      <c r="M7" s="7">
        <v>0</v>
      </c>
    </row>
    <row r="8" spans="1:13" x14ac:dyDescent="0.35">
      <c r="A8" s="6" t="s">
        <v>16</v>
      </c>
      <c r="B8" s="7">
        <v>50191</v>
      </c>
      <c r="C8" s="7">
        <v>4734</v>
      </c>
      <c r="D8" s="7">
        <v>4943</v>
      </c>
      <c r="E8" s="7">
        <v>0</v>
      </c>
      <c r="F8" s="7">
        <v>12492</v>
      </c>
      <c r="G8" s="7">
        <v>7493</v>
      </c>
      <c r="H8" s="7">
        <v>3257</v>
      </c>
      <c r="I8" s="7">
        <v>1197</v>
      </c>
      <c r="J8" s="7">
        <v>4643</v>
      </c>
      <c r="K8" s="7">
        <v>6433</v>
      </c>
      <c r="L8" s="7">
        <v>5524</v>
      </c>
      <c r="M8" s="7">
        <v>0</v>
      </c>
    </row>
    <row r="9" spans="1:13" x14ac:dyDescent="0.35">
      <c r="A9" s="6" t="s">
        <v>17</v>
      </c>
      <c r="B9" s="7">
        <v>56964</v>
      </c>
      <c r="C9" s="7">
        <v>5005</v>
      </c>
      <c r="D9" s="7">
        <v>4459</v>
      </c>
      <c r="E9" s="7">
        <v>0</v>
      </c>
      <c r="F9" s="7">
        <v>13180</v>
      </c>
      <c r="G9" s="7">
        <v>3870</v>
      </c>
      <c r="H9" s="7">
        <v>2683</v>
      </c>
      <c r="I9" s="7">
        <v>2930</v>
      </c>
      <c r="J9" s="7">
        <v>1880</v>
      </c>
      <c r="K9" s="7">
        <v>5777</v>
      </c>
      <c r="L9" s="7">
        <v>4069</v>
      </c>
      <c r="M9" s="7">
        <v>10000</v>
      </c>
    </row>
    <row r="10" spans="1:13" x14ac:dyDescent="0.35">
      <c r="A10" s="6" t="s">
        <v>18</v>
      </c>
      <c r="B10" s="7">
        <v>56284</v>
      </c>
      <c r="C10" s="7">
        <v>6658</v>
      </c>
      <c r="D10" s="7">
        <v>4073</v>
      </c>
      <c r="E10" s="7">
        <v>0</v>
      </c>
      <c r="F10" s="7">
        <v>14062</v>
      </c>
      <c r="G10" s="7">
        <v>7488</v>
      </c>
      <c r="H10" s="7">
        <v>2663</v>
      </c>
      <c r="I10" s="7">
        <v>3799</v>
      </c>
      <c r="J10" s="7">
        <v>3049</v>
      </c>
      <c r="K10" s="7">
        <v>4869</v>
      </c>
      <c r="L10" s="7">
        <v>6444</v>
      </c>
      <c r="M10" s="7">
        <v>9000</v>
      </c>
    </row>
    <row r="11" spans="1:13" x14ac:dyDescent="0.35">
      <c r="A11" s="6" t="s">
        <v>19</v>
      </c>
      <c r="B11" s="7">
        <v>50734</v>
      </c>
      <c r="C11" s="7">
        <v>3899</v>
      </c>
      <c r="D11" s="7">
        <v>2021</v>
      </c>
      <c r="E11" s="7">
        <v>14012</v>
      </c>
      <c r="F11" s="7">
        <v>12064</v>
      </c>
      <c r="G11" s="7">
        <v>3206</v>
      </c>
      <c r="H11" s="7">
        <v>3998</v>
      </c>
      <c r="I11" s="7">
        <v>3191</v>
      </c>
      <c r="J11" s="7">
        <v>3944</v>
      </c>
      <c r="K11" s="7">
        <v>5234</v>
      </c>
      <c r="L11" s="7">
        <v>5565</v>
      </c>
      <c r="M11" s="7">
        <v>0</v>
      </c>
    </row>
    <row r="12" spans="1:13" x14ac:dyDescent="0.35">
      <c r="A12" s="6" t="s">
        <v>20</v>
      </c>
      <c r="B12" s="7">
        <v>51265</v>
      </c>
      <c r="C12" s="7">
        <v>9734</v>
      </c>
      <c r="D12" s="7">
        <v>4461</v>
      </c>
      <c r="E12" s="7">
        <v>0</v>
      </c>
      <c r="F12" s="7">
        <v>14568</v>
      </c>
      <c r="G12" s="7">
        <v>4484</v>
      </c>
      <c r="H12" s="7">
        <v>3631</v>
      </c>
      <c r="I12" s="7">
        <v>1608</v>
      </c>
      <c r="J12" s="7">
        <v>2327</v>
      </c>
      <c r="K12" s="7">
        <v>5791</v>
      </c>
      <c r="L12" s="7">
        <v>4060</v>
      </c>
      <c r="M12" s="7">
        <v>0</v>
      </c>
    </row>
    <row r="13" spans="1:13" x14ac:dyDescent="0.35">
      <c r="A13" s="6" t="s">
        <v>21</v>
      </c>
      <c r="B13" s="7">
        <v>45466</v>
      </c>
      <c r="C13" s="7">
        <v>3267</v>
      </c>
      <c r="D13" s="7">
        <v>3613</v>
      </c>
      <c r="E13" s="7">
        <v>0</v>
      </c>
      <c r="F13" s="7">
        <v>13367</v>
      </c>
      <c r="G13" s="7">
        <v>3863</v>
      </c>
      <c r="H13" s="7">
        <v>3495</v>
      </c>
      <c r="I13" s="7">
        <v>2147</v>
      </c>
      <c r="J13" s="7">
        <v>3301</v>
      </c>
      <c r="K13" s="7">
        <v>2956</v>
      </c>
      <c r="L13" s="7">
        <v>5327</v>
      </c>
      <c r="M13" s="7">
        <v>800</v>
      </c>
    </row>
    <row r="14" spans="1:13" x14ac:dyDescent="0.35">
      <c r="A14" s="6" t="s">
        <v>22</v>
      </c>
      <c r="B14" s="7">
        <v>58526</v>
      </c>
      <c r="C14" s="7">
        <v>8975</v>
      </c>
      <c r="D14" s="7">
        <v>2129</v>
      </c>
      <c r="E14" s="7">
        <v>0</v>
      </c>
      <c r="F14" s="7">
        <v>13152</v>
      </c>
      <c r="G14" s="7">
        <v>5790</v>
      </c>
      <c r="H14" s="7">
        <v>3136</v>
      </c>
      <c r="I14" s="7">
        <v>1186</v>
      </c>
      <c r="J14" s="7">
        <v>4723</v>
      </c>
      <c r="K14" s="7">
        <v>6067</v>
      </c>
      <c r="L14" s="7">
        <v>6420</v>
      </c>
      <c r="M14" s="7">
        <v>1000</v>
      </c>
    </row>
    <row r="15" spans="1:13" x14ac:dyDescent="0.35">
      <c r="A15" s="6" t="s">
        <v>23</v>
      </c>
      <c r="B15" s="7">
        <v>49426</v>
      </c>
      <c r="C15" s="7">
        <v>3528</v>
      </c>
      <c r="D15" s="7">
        <v>4843</v>
      </c>
      <c r="E15" s="7">
        <v>0</v>
      </c>
      <c r="F15" s="7">
        <v>14027</v>
      </c>
      <c r="G15" s="7">
        <v>3563</v>
      </c>
      <c r="H15" s="7">
        <v>3853</v>
      </c>
      <c r="I15" s="7">
        <v>3511</v>
      </c>
      <c r="J15" s="7">
        <v>1452</v>
      </c>
      <c r="K15" s="7">
        <v>2160</v>
      </c>
      <c r="L15" s="7">
        <v>3301</v>
      </c>
      <c r="M15" s="7">
        <v>0</v>
      </c>
    </row>
    <row r="16" spans="1:13" x14ac:dyDescent="0.35">
      <c r="A16" s="6" t="s">
        <v>24</v>
      </c>
      <c r="B16" s="7">
        <v>50578</v>
      </c>
      <c r="C16" s="7">
        <v>5202</v>
      </c>
      <c r="D16" s="7">
        <v>4893</v>
      </c>
      <c r="E16" s="7">
        <v>0</v>
      </c>
      <c r="F16" s="7">
        <v>14695</v>
      </c>
      <c r="G16" s="7">
        <v>7191</v>
      </c>
      <c r="H16" s="7">
        <v>3520</v>
      </c>
      <c r="I16" s="7">
        <v>2794</v>
      </c>
      <c r="J16" s="7">
        <v>4108</v>
      </c>
      <c r="K16" s="7">
        <v>6493</v>
      </c>
      <c r="L16" s="7">
        <v>7276</v>
      </c>
      <c r="M16" s="7">
        <v>1239</v>
      </c>
    </row>
    <row r="17" spans="1:13" x14ac:dyDescent="0.35">
      <c r="A17" s="6" t="s">
        <v>25</v>
      </c>
      <c r="B17" s="7">
        <v>59423</v>
      </c>
      <c r="C17" s="7">
        <v>5556</v>
      </c>
      <c r="D17" s="7">
        <v>2500</v>
      </c>
      <c r="E17" s="7">
        <v>0</v>
      </c>
      <c r="F17" s="7">
        <v>13495</v>
      </c>
      <c r="G17" s="7">
        <v>4757</v>
      </c>
      <c r="H17" s="7">
        <v>4489</v>
      </c>
      <c r="I17" s="7">
        <v>1659</v>
      </c>
      <c r="J17" s="7">
        <v>2183</v>
      </c>
      <c r="K17" s="7">
        <v>3300</v>
      </c>
      <c r="L17" s="7">
        <v>3606</v>
      </c>
      <c r="M17" s="7">
        <v>10000</v>
      </c>
    </row>
    <row r="18" spans="1:13" x14ac:dyDescent="0.35">
      <c r="A18" s="6" t="s">
        <v>26</v>
      </c>
      <c r="B18" s="7">
        <v>56636</v>
      </c>
      <c r="C18" s="7">
        <v>5890</v>
      </c>
      <c r="D18" s="7">
        <v>1702</v>
      </c>
      <c r="E18" s="7">
        <v>0</v>
      </c>
      <c r="F18" s="7">
        <v>13162</v>
      </c>
      <c r="G18" s="7">
        <v>4678</v>
      </c>
      <c r="H18" s="7">
        <v>2563</v>
      </c>
      <c r="I18" s="7">
        <v>3811</v>
      </c>
      <c r="J18" s="7">
        <v>4062</v>
      </c>
      <c r="K18" s="7">
        <v>6911</v>
      </c>
      <c r="L18" s="7">
        <v>6170</v>
      </c>
      <c r="M18" s="7">
        <v>0</v>
      </c>
    </row>
    <row r="19" spans="1:13" x14ac:dyDescent="0.35">
      <c r="A19" s="6" t="s">
        <v>27</v>
      </c>
      <c r="B19" s="7">
        <v>56363</v>
      </c>
      <c r="C19" s="7">
        <v>2646</v>
      </c>
      <c r="D19" s="7">
        <v>3449</v>
      </c>
      <c r="E19" s="7">
        <v>0</v>
      </c>
      <c r="F19" s="7">
        <v>13522</v>
      </c>
      <c r="G19" s="7">
        <v>6242</v>
      </c>
      <c r="H19" s="7">
        <v>3291</v>
      </c>
      <c r="I19" s="7">
        <v>2955</v>
      </c>
      <c r="J19" s="7">
        <v>3056</v>
      </c>
      <c r="K19" s="7">
        <v>5987</v>
      </c>
      <c r="L19" s="7">
        <v>3699</v>
      </c>
      <c r="M19" s="7">
        <v>20000</v>
      </c>
    </row>
    <row r="20" spans="1:13" x14ac:dyDescent="0.35">
      <c r="A20" s="6" t="s">
        <v>28</v>
      </c>
      <c r="B20" s="7">
        <v>56111</v>
      </c>
      <c r="C20" s="7">
        <v>8164</v>
      </c>
      <c r="D20" s="7">
        <v>3777</v>
      </c>
      <c r="E20" s="7">
        <v>0</v>
      </c>
      <c r="F20" s="7">
        <v>14640</v>
      </c>
      <c r="G20" s="7">
        <v>7636</v>
      </c>
      <c r="H20" s="7">
        <v>3636</v>
      </c>
      <c r="I20" s="7">
        <v>3450</v>
      </c>
      <c r="J20" s="7">
        <v>4304</v>
      </c>
      <c r="K20" s="7">
        <v>3527</v>
      </c>
      <c r="L20" s="7">
        <v>4139</v>
      </c>
      <c r="M20" s="7">
        <v>0</v>
      </c>
    </row>
    <row r="21" spans="1:13" x14ac:dyDescent="0.35">
      <c r="A21" s="6" t="s">
        <v>29</v>
      </c>
      <c r="B21" s="7">
        <v>53322</v>
      </c>
      <c r="C21" s="7">
        <v>4888</v>
      </c>
      <c r="D21" s="7">
        <v>2579</v>
      </c>
      <c r="E21" s="7">
        <v>12286</v>
      </c>
      <c r="F21" s="7">
        <v>12391</v>
      </c>
      <c r="G21" s="7">
        <v>4059</v>
      </c>
      <c r="H21" s="7">
        <v>4999</v>
      </c>
      <c r="I21" s="7">
        <v>2369</v>
      </c>
      <c r="J21" s="7">
        <v>4170</v>
      </c>
      <c r="K21" s="7">
        <v>3218</v>
      </c>
      <c r="L21" s="7">
        <v>3190</v>
      </c>
      <c r="M21" s="7">
        <v>0</v>
      </c>
    </row>
    <row r="22" spans="1:13" x14ac:dyDescent="0.35">
      <c r="A22" s="6" t="s">
        <v>30</v>
      </c>
      <c r="B22" s="7">
        <v>46685</v>
      </c>
      <c r="C22" s="7">
        <v>8310</v>
      </c>
      <c r="D22" s="7">
        <v>1161</v>
      </c>
      <c r="E22" s="7">
        <v>0</v>
      </c>
      <c r="F22" s="7">
        <v>13698</v>
      </c>
      <c r="G22" s="7">
        <v>4722</v>
      </c>
      <c r="H22" s="7">
        <v>2698</v>
      </c>
      <c r="I22" s="7">
        <v>2986</v>
      </c>
      <c r="J22" s="7">
        <v>2682</v>
      </c>
      <c r="K22" s="7">
        <v>6496</v>
      </c>
      <c r="L22" s="7">
        <v>5300</v>
      </c>
      <c r="M22" s="7">
        <v>0</v>
      </c>
    </row>
    <row r="23" spans="1:13" x14ac:dyDescent="0.35">
      <c r="A23" s="6" t="s">
        <v>31</v>
      </c>
      <c r="B23" s="7">
        <v>45769</v>
      </c>
      <c r="C23" s="7">
        <v>7393</v>
      </c>
      <c r="D23" s="7">
        <v>1201</v>
      </c>
      <c r="E23" s="7">
        <v>0</v>
      </c>
      <c r="F23" s="7">
        <v>12418</v>
      </c>
      <c r="G23" s="7">
        <v>6314</v>
      </c>
      <c r="H23" s="7">
        <v>4160</v>
      </c>
      <c r="I23" s="7">
        <v>2534</v>
      </c>
      <c r="J23" s="7">
        <v>3863</v>
      </c>
      <c r="K23" s="7">
        <v>6735</v>
      </c>
      <c r="L23" s="7">
        <v>3980</v>
      </c>
      <c r="M23" s="7">
        <v>0</v>
      </c>
    </row>
    <row r="24" spans="1:13" x14ac:dyDescent="0.35">
      <c r="A24" s="6" t="s">
        <v>32</v>
      </c>
      <c r="B24" s="7">
        <v>55583</v>
      </c>
      <c r="C24" s="7">
        <v>4435</v>
      </c>
      <c r="D24" s="7">
        <v>2981</v>
      </c>
      <c r="E24" s="7">
        <v>0</v>
      </c>
      <c r="F24" s="7">
        <v>14336</v>
      </c>
      <c r="G24" s="7">
        <v>6157</v>
      </c>
      <c r="H24" s="7">
        <v>2001</v>
      </c>
      <c r="I24" s="7">
        <v>1146</v>
      </c>
      <c r="J24" s="7">
        <v>3255</v>
      </c>
      <c r="K24" s="7">
        <v>5104</v>
      </c>
      <c r="L24" s="7">
        <v>5975</v>
      </c>
      <c r="M24" s="7">
        <v>50000</v>
      </c>
    </row>
    <row r="25" spans="1:13" x14ac:dyDescent="0.35">
      <c r="A25" s="6" t="s">
        <v>33</v>
      </c>
      <c r="B25" s="7">
        <v>58803</v>
      </c>
      <c r="C25" s="7">
        <v>2600</v>
      </c>
      <c r="D25" s="7">
        <v>1995</v>
      </c>
      <c r="E25" s="7">
        <v>0</v>
      </c>
      <c r="F25" s="7">
        <v>12378</v>
      </c>
      <c r="G25" s="7">
        <v>5625</v>
      </c>
      <c r="H25" s="7">
        <v>2641</v>
      </c>
      <c r="I25" s="7">
        <v>3911</v>
      </c>
      <c r="J25" s="7">
        <v>2154</v>
      </c>
      <c r="K25" s="7">
        <v>4735</v>
      </c>
      <c r="L25" s="7">
        <v>4184</v>
      </c>
      <c r="M25" s="7">
        <v>10000</v>
      </c>
    </row>
    <row r="26" spans="1:13" x14ac:dyDescent="0.35">
      <c r="A26" s="6" t="s">
        <v>34</v>
      </c>
      <c r="B26" s="7">
        <v>51949</v>
      </c>
      <c r="C26" s="7">
        <v>4363</v>
      </c>
      <c r="D26" s="7">
        <v>3317</v>
      </c>
      <c r="E26" s="7">
        <v>0</v>
      </c>
      <c r="F26" s="7">
        <v>13796</v>
      </c>
      <c r="G26" s="7">
        <v>5729</v>
      </c>
      <c r="H26" s="7">
        <v>4267</v>
      </c>
      <c r="I26" s="7">
        <v>2734</v>
      </c>
      <c r="J26" s="7">
        <v>1403</v>
      </c>
      <c r="K26" s="7">
        <v>6555</v>
      </c>
      <c r="L26" s="7">
        <v>6327</v>
      </c>
      <c r="M26" s="7">
        <v>6000</v>
      </c>
    </row>
    <row r="27" spans="1:13" x14ac:dyDescent="0.35">
      <c r="A27" s="6" t="s">
        <v>35</v>
      </c>
      <c r="B27" s="7">
        <v>47433</v>
      </c>
      <c r="C27" s="7">
        <v>4061</v>
      </c>
      <c r="D27" s="7">
        <v>4934</v>
      </c>
      <c r="E27" s="7">
        <v>0</v>
      </c>
      <c r="F27" s="7">
        <v>14278</v>
      </c>
      <c r="G27" s="7">
        <v>4597</v>
      </c>
      <c r="H27" s="7">
        <v>3589</v>
      </c>
      <c r="I27" s="7">
        <v>2843</v>
      </c>
      <c r="J27" s="7">
        <v>3199</v>
      </c>
      <c r="K27" s="7">
        <v>2954</v>
      </c>
      <c r="L27" s="7">
        <v>6394</v>
      </c>
      <c r="M27" s="7">
        <v>40000</v>
      </c>
    </row>
    <row r="28" spans="1:13" x14ac:dyDescent="0.35">
      <c r="A28" s="6" t="s">
        <v>36</v>
      </c>
      <c r="B28" s="7">
        <v>50311</v>
      </c>
      <c r="C28" s="7">
        <v>2241</v>
      </c>
      <c r="D28" s="7">
        <v>1815</v>
      </c>
      <c r="E28" s="7">
        <v>0</v>
      </c>
      <c r="F28" s="7">
        <v>14088</v>
      </c>
      <c r="G28" s="7">
        <v>6060</v>
      </c>
      <c r="H28" s="7">
        <v>2854</v>
      </c>
      <c r="I28" s="7">
        <v>1488</v>
      </c>
      <c r="J28" s="7">
        <v>3101</v>
      </c>
      <c r="K28" s="7">
        <v>6565</v>
      </c>
      <c r="L28" s="7">
        <v>3127</v>
      </c>
      <c r="M28" s="7">
        <v>0</v>
      </c>
    </row>
    <row r="29" spans="1:13" x14ac:dyDescent="0.35">
      <c r="A29" s="6" t="s">
        <v>37</v>
      </c>
      <c r="B29" s="7">
        <v>50051</v>
      </c>
      <c r="C29" s="7">
        <v>4041</v>
      </c>
      <c r="D29" s="7">
        <v>4342</v>
      </c>
      <c r="E29" s="7">
        <v>0</v>
      </c>
      <c r="F29" s="7">
        <v>14182</v>
      </c>
      <c r="G29" s="7">
        <v>5693</v>
      </c>
      <c r="H29" s="7">
        <v>3759</v>
      </c>
      <c r="I29" s="7">
        <v>3976</v>
      </c>
      <c r="J29" s="7">
        <v>4191</v>
      </c>
      <c r="K29" s="7">
        <v>5446</v>
      </c>
      <c r="L29" s="7">
        <v>5065</v>
      </c>
      <c r="M29" s="7">
        <v>0</v>
      </c>
    </row>
    <row r="30" spans="1:13" x14ac:dyDescent="0.35">
      <c r="A30" s="6" t="s">
        <v>38</v>
      </c>
      <c r="B30" s="7">
        <v>51420</v>
      </c>
      <c r="C30" s="7">
        <v>4824</v>
      </c>
      <c r="D30" s="7">
        <v>1455</v>
      </c>
      <c r="E30" s="7">
        <v>0</v>
      </c>
      <c r="F30" s="7">
        <v>12200</v>
      </c>
      <c r="G30" s="7">
        <v>7891</v>
      </c>
      <c r="H30" s="7">
        <v>4432</v>
      </c>
      <c r="I30" s="7">
        <v>2959</v>
      </c>
      <c r="J30" s="7">
        <v>2696</v>
      </c>
      <c r="K30" s="7">
        <v>3045</v>
      </c>
      <c r="L30" s="7">
        <v>4816</v>
      </c>
      <c r="M30" s="7">
        <v>0</v>
      </c>
    </row>
    <row r="31" spans="1:13" x14ac:dyDescent="0.35">
      <c r="A31" s="6" t="s">
        <v>39</v>
      </c>
      <c r="B31" s="7">
        <v>46184</v>
      </c>
      <c r="C31" s="7">
        <v>9513</v>
      </c>
      <c r="D31" s="7">
        <v>4533</v>
      </c>
      <c r="E31" s="7">
        <v>0</v>
      </c>
      <c r="F31" s="7">
        <v>13863</v>
      </c>
      <c r="G31" s="7">
        <v>6627</v>
      </c>
      <c r="H31" s="7">
        <v>3661</v>
      </c>
      <c r="I31" s="7">
        <v>2663</v>
      </c>
      <c r="J31" s="7">
        <v>4991</v>
      </c>
      <c r="K31" s="7">
        <v>3693</v>
      </c>
      <c r="L31" s="7">
        <v>3569</v>
      </c>
      <c r="M31" s="7">
        <v>2156</v>
      </c>
    </row>
    <row r="32" spans="1:13" x14ac:dyDescent="0.35">
      <c r="A32" s="6" t="s">
        <v>40</v>
      </c>
      <c r="B32" s="7">
        <v>49555</v>
      </c>
      <c r="C32" s="7">
        <v>4612</v>
      </c>
      <c r="D32" s="7">
        <v>4798</v>
      </c>
      <c r="E32" s="7">
        <v>0</v>
      </c>
      <c r="F32" s="7">
        <v>12779</v>
      </c>
      <c r="G32" s="7">
        <v>4363</v>
      </c>
      <c r="H32" s="7">
        <v>3153</v>
      </c>
      <c r="I32" s="7">
        <v>3598</v>
      </c>
      <c r="J32" s="7">
        <v>1627</v>
      </c>
      <c r="K32" s="7">
        <v>5436</v>
      </c>
      <c r="L32" s="7">
        <v>4895</v>
      </c>
      <c r="M32" s="7">
        <v>0</v>
      </c>
    </row>
    <row r="33" spans="1:13" x14ac:dyDescent="0.35">
      <c r="A33" s="6" t="s">
        <v>41</v>
      </c>
      <c r="B33" s="7">
        <v>48385</v>
      </c>
      <c r="C33" s="7">
        <v>9041</v>
      </c>
      <c r="D33" s="7">
        <v>2275</v>
      </c>
      <c r="E33" s="7">
        <v>0</v>
      </c>
      <c r="F33" s="7">
        <v>14977</v>
      </c>
      <c r="G33" s="7">
        <v>4981</v>
      </c>
      <c r="H33" s="7">
        <v>3076</v>
      </c>
      <c r="I33" s="7">
        <v>3385</v>
      </c>
      <c r="J33" s="7">
        <v>1586</v>
      </c>
      <c r="K33" s="7">
        <v>2562</v>
      </c>
      <c r="L33" s="7">
        <v>5733</v>
      </c>
      <c r="M33" s="7">
        <v>0</v>
      </c>
    </row>
    <row r="34" spans="1:13" x14ac:dyDescent="0.35">
      <c r="A34" s="6" t="s">
        <v>42</v>
      </c>
      <c r="B34" s="7">
        <v>57309</v>
      </c>
      <c r="C34" s="7">
        <v>3363</v>
      </c>
      <c r="D34" s="7">
        <v>2016</v>
      </c>
      <c r="E34" s="7">
        <v>0</v>
      </c>
      <c r="F34" s="7">
        <v>12502</v>
      </c>
      <c r="G34" s="7">
        <v>4663</v>
      </c>
      <c r="H34" s="7">
        <v>3707</v>
      </c>
      <c r="I34" s="7">
        <v>3919</v>
      </c>
      <c r="J34" s="7">
        <v>2648</v>
      </c>
      <c r="K34" s="7">
        <v>4485</v>
      </c>
      <c r="L34" s="7">
        <v>6863</v>
      </c>
      <c r="M34" s="7">
        <v>790</v>
      </c>
    </row>
    <row r="35" spans="1:13" x14ac:dyDescent="0.35">
      <c r="A35" s="6" t="s">
        <v>43</v>
      </c>
      <c r="B35" s="7">
        <v>51396</v>
      </c>
      <c r="C35" s="7">
        <v>8235</v>
      </c>
      <c r="D35" s="7">
        <v>4773</v>
      </c>
      <c r="E35" s="7">
        <v>0</v>
      </c>
      <c r="F35" s="7">
        <v>14454</v>
      </c>
      <c r="G35" s="7">
        <v>4529</v>
      </c>
      <c r="H35" s="7">
        <v>4777</v>
      </c>
      <c r="I35" s="7">
        <v>1640</v>
      </c>
      <c r="J35" s="7">
        <v>2443</v>
      </c>
      <c r="K35" s="7">
        <v>5354</v>
      </c>
      <c r="L35" s="7">
        <v>7721</v>
      </c>
      <c r="M35" s="7">
        <v>0</v>
      </c>
    </row>
    <row r="36" spans="1:13" x14ac:dyDescent="0.35">
      <c r="A36" s="6" t="s">
        <v>44</v>
      </c>
      <c r="B36" s="7">
        <v>58035</v>
      </c>
      <c r="C36" s="7">
        <v>7486</v>
      </c>
      <c r="D36" s="7">
        <v>3343</v>
      </c>
      <c r="E36" s="7">
        <v>0</v>
      </c>
      <c r="F36" s="7">
        <v>13751</v>
      </c>
      <c r="G36" s="7">
        <v>5038</v>
      </c>
      <c r="H36" s="7">
        <v>3695</v>
      </c>
      <c r="I36" s="7">
        <v>2802</v>
      </c>
      <c r="J36" s="7">
        <v>2445</v>
      </c>
      <c r="K36" s="7">
        <v>2225</v>
      </c>
      <c r="L36" s="7">
        <v>7014</v>
      </c>
      <c r="M36" s="7">
        <v>812</v>
      </c>
    </row>
    <row r="37" spans="1:13" x14ac:dyDescent="0.35">
      <c r="A37" s="6" t="s">
        <v>45</v>
      </c>
      <c r="B37" s="7">
        <v>56096</v>
      </c>
      <c r="C37" s="7">
        <v>9099</v>
      </c>
      <c r="D37" s="7">
        <v>4796</v>
      </c>
      <c r="E37" s="7">
        <v>0</v>
      </c>
      <c r="F37" s="7">
        <v>12804</v>
      </c>
      <c r="G37" s="7">
        <v>6302</v>
      </c>
      <c r="H37" s="7">
        <v>3733</v>
      </c>
      <c r="I37" s="7">
        <v>3520</v>
      </c>
      <c r="J37" s="7">
        <v>1103</v>
      </c>
      <c r="K37" s="7">
        <v>6893</v>
      </c>
      <c r="L37" s="7">
        <v>5901</v>
      </c>
      <c r="M37" s="7">
        <v>990</v>
      </c>
    </row>
    <row r="38" spans="1:13" x14ac:dyDescent="0.35">
      <c r="A38" s="6" t="s">
        <v>46</v>
      </c>
      <c r="B38" s="7">
        <v>53666</v>
      </c>
      <c r="C38" s="7">
        <v>3478</v>
      </c>
      <c r="D38" s="7">
        <v>3767</v>
      </c>
      <c r="E38" s="7">
        <v>0</v>
      </c>
      <c r="F38" s="7">
        <v>14146</v>
      </c>
      <c r="G38" s="7">
        <v>5237</v>
      </c>
      <c r="H38" s="7">
        <v>3439</v>
      </c>
      <c r="I38" s="7">
        <v>2969</v>
      </c>
      <c r="J38" s="7">
        <v>4923</v>
      </c>
      <c r="K38" s="7">
        <v>2959</v>
      </c>
      <c r="L38" s="7">
        <v>4686</v>
      </c>
      <c r="M38" s="7">
        <v>1000</v>
      </c>
    </row>
    <row r="39" spans="1:13" x14ac:dyDescent="0.35">
      <c r="A39" s="6" t="s">
        <v>47</v>
      </c>
      <c r="B39" s="7">
        <v>54274</v>
      </c>
      <c r="C39" s="7">
        <v>9595</v>
      </c>
      <c r="D39" s="7">
        <v>4820</v>
      </c>
      <c r="E39" s="7">
        <v>0</v>
      </c>
      <c r="F39" s="7">
        <v>14731</v>
      </c>
      <c r="G39" s="7">
        <v>4306</v>
      </c>
      <c r="H39" s="7">
        <v>4294</v>
      </c>
      <c r="I39" s="7">
        <v>3198</v>
      </c>
      <c r="J39" s="7">
        <v>1253</v>
      </c>
      <c r="K39" s="7">
        <v>6548</v>
      </c>
      <c r="L39" s="7">
        <v>6009</v>
      </c>
      <c r="M39" s="7">
        <v>0</v>
      </c>
    </row>
    <row r="40" spans="1:13" x14ac:dyDescent="0.35">
      <c r="A40" s="6"/>
    </row>
    <row r="41" spans="1:13" x14ac:dyDescent="0.35">
      <c r="A41" s="6"/>
    </row>
    <row r="42" spans="1:13" x14ac:dyDescent="0.35">
      <c r="A42" s="6"/>
    </row>
    <row r="43" spans="1:13" x14ac:dyDescent="0.35">
      <c r="A43" s="6"/>
    </row>
  </sheetData>
  <mergeCells count="3">
    <mergeCell ref="B2:E2"/>
    <mergeCell ref="F2:L2"/>
    <mergeCell ref="A1:M1"/>
  </mergeCells>
  <dataValidations count="1">
    <dataValidation type="whole" allowBlank="1" showInputMessage="1" showErrorMessage="1" errorTitle="Error" error="Enter a whole number" promptTitle="Enter the Amount" sqref="B4:M43">
      <formula1>0</formula1>
      <formula2>10000000</formula2>
    </dataValidation>
  </dataValidation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zoomScale="85" zoomScaleNormal="85" workbookViewId="0">
      <selection activeCell="D4" sqref="D4"/>
    </sheetView>
  </sheetViews>
  <sheetFormatPr defaultRowHeight="14.5" x14ac:dyDescent="0.35"/>
  <cols>
    <col min="1" max="1" width="18.08984375" bestFit="1" customWidth="1"/>
    <col min="2" max="2" width="14.1796875" customWidth="1"/>
    <col min="3" max="3" width="15.36328125" bestFit="1" customWidth="1"/>
    <col min="4" max="4" width="13" customWidth="1"/>
    <col min="5" max="5" width="18.7265625" customWidth="1"/>
    <col min="7" max="7" width="15.54296875" bestFit="1" customWidth="1"/>
    <col min="10" max="10" width="11.6328125" customWidth="1"/>
    <col min="12" max="12" width="11" bestFit="1" customWidth="1"/>
  </cols>
  <sheetData>
    <row r="1" spans="1:18" ht="26" customHeight="1" x14ac:dyDescent="0.6">
      <c r="A1" s="22" t="s">
        <v>64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3"/>
      <c r="Q1" s="23"/>
      <c r="R1" s="23"/>
    </row>
    <row r="2" spans="1:18" ht="15" customHeight="1" thickBot="1" x14ac:dyDescent="0.4">
      <c r="A2" s="13"/>
      <c r="B2" s="13"/>
      <c r="C2" s="13"/>
      <c r="D2" s="13"/>
      <c r="E2" s="13"/>
      <c r="F2" s="14"/>
      <c r="G2" s="14"/>
      <c r="H2" s="14"/>
      <c r="I2" s="14"/>
      <c r="J2" s="14"/>
      <c r="K2" s="14"/>
      <c r="L2" s="29" t="s">
        <v>65</v>
      </c>
      <c r="M2" s="29"/>
      <c r="N2" s="29"/>
      <c r="O2" s="29"/>
      <c r="P2" s="29"/>
      <c r="Q2" s="29"/>
      <c r="R2" s="29"/>
    </row>
    <row r="3" spans="1:18" ht="15" thickBot="1" x14ac:dyDescent="0.4">
      <c r="A3" s="1" t="s">
        <v>0</v>
      </c>
      <c r="B3" t="s">
        <v>51</v>
      </c>
      <c r="C3" t="s">
        <v>53</v>
      </c>
      <c r="D3" t="s">
        <v>58</v>
      </c>
      <c r="E3" t="s">
        <v>54</v>
      </c>
      <c r="G3" s="21" t="s">
        <v>57</v>
      </c>
      <c r="H3" s="21"/>
      <c r="I3" s="21"/>
      <c r="J3" s="21"/>
      <c r="L3" s="24">
        <f>D4</f>
        <v>21890</v>
      </c>
      <c r="M3" s="25">
        <v>30000</v>
      </c>
      <c r="N3" s="25">
        <v>35000</v>
      </c>
      <c r="O3" s="25">
        <v>40000</v>
      </c>
      <c r="P3" s="25">
        <v>45000</v>
      </c>
      <c r="Q3" s="25">
        <v>50000</v>
      </c>
      <c r="R3" s="25">
        <v>55000</v>
      </c>
    </row>
    <row r="4" spans="1:18" ht="15" thickBot="1" x14ac:dyDescent="0.4">
      <c r="A4" t="s">
        <v>12</v>
      </c>
      <c r="B4" s="7">
        <f>SUM(Table2[#This Row])</f>
        <v>58498</v>
      </c>
      <c r="C4" s="7">
        <f>SUM(Table3[#This Row])</f>
        <v>36608</v>
      </c>
      <c r="D4" s="7">
        <f>B4-C4</f>
        <v>21890</v>
      </c>
      <c r="E4" t="str">
        <f>IF(B4&lt;C4, "Overspending", "Within Budget")</f>
        <v>Within Budget</v>
      </c>
      <c r="G4" s="8" t="s">
        <v>55</v>
      </c>
      <c r="H4" s="8" t="s">
        <v>12</v>
      </c>
      <c r="I4" s="8" t="s">
        <v>1</v>
      </c>
      <c r="J4" s="8">
        <f>IFERROR(VLOOKUP(H4,Monthly_data!A3:E39,MATCH(I4,Monthly_data!A3:E3,0),0),"Value not found")</f>
        <v>52270</v>
      </c>
      <c r="L4" s="26">
        <v>40000</v>
      </c>
      <c r="M4" s="27">
        <f t="dataTable" ref="M4:R9" dt2D="1" dtr="1" r1="C4" r2="B4"/>
        <v>10000</v>
      </c>
      <c r="N4" s="28">
        <v>5000</v>
      </c>
      <c r="O4" s="28">
        <v>0</v>
      </c>
      <c r="P4" s="28">
        <v>-5000</v>
      </c>
      <c r="Q4" s="28">
        <v>-10000</v>
      </c>
      <c r="R4" s="28">
        <v>-15000</v>
      </c>
    </row>
    <row r="5" spans="1:18" ht="15" thickBot="1" x14ac:dyDescent="0.4">
      <c r="A5" t="s">
        <v>13</v>
      </c>
      <c r="B5" s="7">
        <f>SUM(Table2[#This Row])</f>
        <v>67475</v>
      </c>
      <c r="C5" s="7">
        <f>SUM(Table3[#This Row])</f>
        <v>35939</v>
      </c>
      <c r="D5" s="7">
        <f t="shared" ref="D5:D39" si="0">B5-C5</f>
        <v>31536</v>
      </c>
      <c r="E5" t="str">
        <f t="shared" ref="E5:E39" si="1">IF(B5&lt;C5, "Overspending", "Within Budget")</f>
        <v>Within Budget</v>
      </c>
      <c r="G5" s="8" t="s">
        <v>56</v>
      </c>
      <c r="H5" s="8" t="s">
        <v>13</v>
      </c>
      <c r="I5" s="8" t="s">
        <v>5</v>
      </c>
      <c r="J5" s="8">
        <f>IFERROR(VLOOKUP(H5, Monthly_data!A2:M39,MATCH(I5,Monthly_data!A3:M3,0),0),"Value not Found")</f>
        <v>12763</v>
      </c>
      <c r="L5" s="26">
        <v>45000</v>
      </c>
      <c r="M5" s="27">
        <v>15000</v>
      </c>
      <c r="N5" s="28">
        <v>10000</v>
      </c>
      <c r="O5" s="28">
        <v>5000</v>
      </c>
      <c r="P5" s="28">
        <v>0</v>
      </c>
      <c r="Q5" s="28">
        <v>-5000</v>
      </c>
      <c r="R5" s="28">
        <v>-10000</v>
      </c>
    </row>
    <row r="6" spans="1:18" ht="15" thickBot="1" x14ac:dyDescent="0.4">
      <c r="A6" t="s">
        <v>14</v>
      </c>
      <c r="B6" s="7">
        <f>SUM(Table2[#This Row])</f>
        <v>55534</v>
      </c>
      <c r="C6" s="7">
        <f>SUM(Table3[#This Row])</f>
        <v>55065</v>
      </c>
      <c r="D6" s="7">
        <f t="shared" si="0"/>
        <v>469</v>
      </c>
      <c r="E6" t="str">
        <f t="shared" si="1"/>
        <v>Within Budget</v>
      </c>
      <c r="L6" s="26">
        <v>50000</v>
      </c>
      <c r="M6" s="27">
        <v>20000</v>
      </c>
      <c r="N6" s="28">
        <v>15000</v>
      </c>
      <c r="O6" s="28">
        <v>10000</v>
      </c>
      <c r="P6" s="28">
        <v>5000</v>
      </c>
      <c r="Q6" s="28">
        <v>0</v>
      </c>
      <c r="R6" s="28">
        <v>-5000</v>
      </c>
    </row>
    <row r="7" spans="1:18" ht="15" thickBot="1" x14ac:dyDescent="0.4">
      <c r="A7" t="s">
        <v>15</v>
      </c>
      <c r="B7" s="7">
        <f>SUM(Table2[#This Row])</f>
        <v>70104</v>
      </c>
      <c r="C7" s="7">
        <f>SUM(Table3[#This Row])</f>
        <v>36323</v>
      </c>
      <c r="D7" s="7">
        <f t="shared" si="0"/>
        <v>33781</v>
      </c>
      <c r="E7" t="str">
        <f t="shared" si="1"/>
        <v>Within Budget</v>
      </c>
      <c r="G7" s="20" t="s">
        <v>59</v>
      </c>
      <c r="H7" s="20"/>
      <c r="I7" s="20"/>
      <c r="J7" s="20"/>
      <c r="L7" s="26">
        <v>55000</v>
      </c>
      <c r="M7" s="27">
        <v>25000</v>
      </c>
      <c r="N7" s="28">
        <v>20000</v>
      </c>
      <c r="O7" s="28">
        <v>15000</v>
      </c>
      <c r="P7" s="28">
        <v>10000</v>
      </c>
      <c r="Q7" s="28">
        <v>5000</v>
      </c>
      <c r="R7" s="28">
        <v>0</v>
      </c>
    </row>
    <row r="8" spans="1:18" ht="15" thickBot="1" x14ac:dyDescent="0.4">
      <c r="A8" t="s">
        <v>16</v>
      </c>
      <c r="B8" s="7">
        <f>SUM(Table2[#This Row])</f>
        <v>59868</v>
      </c>
      <c r="C8" s="7">
        <f>SUM(Table3[#This Row])</f>
        <v>41039</v>
      </c>
      <c r="D8" s="7">
        <f t="shared" si="0"/>
        <v>18829</v>
      </c>
      <c r="E8" t="str">
        <f t="shared" si="1"/>
        <v>Within Budget</v>
      </c>
      <c r="G8" s="8" t="s">
        <v>60</v>
      </c>
      <c r="H8" s="8" t="s">
        <v>61</v>
      </c>
      <c r="I8" s="8" t="s">
        <v>62</v>
      </c>
      <c r="J8" s="8" t="s">
        <v>11</v>
      </c>
      <c r="L8" s="26">
        <v>60000</v>
      </c>
      <c r="M8" s="28">
        <v>30000</v>
      </c>
      <c r="N8" s="28">
        <v>25000</v>
      </c>
      <c r="O8" s="28">
        <v>20000</v>
      </c>
      <c r="P8" s="28">
        <v>15000</v>
      </c>
      <c r="Q8" s="28">
        <v>10000</v>
      </c>
      <c r="R8" s="28">
        <v>5000</v>
      </c>
    </row>
    <row r="9" spans="1:18" ht="15" thickBot="1" x14ac:dyDescent="0.4">
      <c r="A9" t="s">
        <v>17</v>
      </c>
      <c r="B9" s="7">
        <f>SUM(Table2[#This Row])</f>
        <v>66428</v>
      </c>
      <c r="C9" s="7">
        <f>SUM(Table3[#This Row])</f>
        <v>44389</v>
      </c>
      <c r="D9" s="7">
        <f t="shared" si="0"/>
        <v>22039</v>
      </c>
      <c r="E9" t="str">
        <f t="shared" si="1"/>
        <v>Within Budget</v>
      </c>
      <c r="G9" s="8">
        <v>200000</v>
      </c>
      <c r="H9" s="9">
        <v>0.12</v>
      </c>
      <c r="I9" s="8">
        <v>36</v>
      </c>
      <c r="J9" s="10">
        <f>PMT(H9/12,I9,-G9)</f>
        <v>6642.8619625702386</v>
      </c>
      <c r="L9" s="26">
        <v>65000</v>
      </c>
      <c r="M9" s="28">
        <v>35000</v>
      </c>
      <c r="N9" s="28">
        <v>30000</v>
      </c>
      <c r="O9" s="28">
        <v>25000</v>
      </c>
      <c r="P9" s="28">
        <v>20000</v>
      </c>
      <c r="Q9" s="28">
        <v>15000</v>
      </c>
      <c r="R9" s="28">
        <v>10000</v>
      </c>
    </row>
    <row r="10" spans="1:18" x14ac:dyDescent="0.35">
      <c r="A10" t="s">
        <v>18</v>
      </c>
      <c r="B10" s="7">
        <f>SUM(Table2[#This Row])</f>
        <v>67015</v>
      </c>
      <c r="C10" s="7">
        <f>SUM(Table3[#This Row])</f>
        <v>51374</v>
      </c>
      <c r="D10" s="7">
        <f t="shared" si="0"/>
        <v>15641</v>
      </c>
      <c r="E10" t="str">
        <f t="shared" si="1"/>
        <v>Within Budget</v>
      </c>
    </row>
    <row r="11" spans="1:18" x14ac:dyDescent="0.35">
      <c r="A11" t="s">
        <v>19</v>
      </c>
      <c r="B11" s="7">
        <f>SUM(Table2[#This Row])</f>
        <v>70666</v>
      </c>
      <c r="C11" s="7">
        <f>SUM(Table3[#This Row])</f>
        <v>37202</v>
      </c>
      <c r="D11" s="7">
        <f t="shared" si="0"/>
        <v>33464</v>
      </c>
      <c r="E11" t="str">
        <f t="shared" si="1"/>
        <v>Within Budget</v>
      </c>
    </row>
    <row r="12" spans="1:18" x14ac:dyDescent="0.35">
      <c r="A12" t="s">
        <v>20</v>
      </c>
      <c r="B12" s="7">
        <f>SUM(Table2[#This Row])</f>
        <v>65460</v>
      </c>
      <c r="C12" s="7">
        <f>SUM(Table3[#This Row])</f>
        <v>36469</v>
      </c>
      <c r="D12" s="7">
        <f t="shared" si="0"/>
        <v>28991</v>
      </c>
      <c r="E12" t="str">
        <f t="shared" si="1"/>
        <v>Within Budget</v>
      </c>
    </row>
    <row r="13" spans="1:18" x14ac:dyDescent="0.35">
      <c r="A13" t="s">
        <v>21</v>
      </c>
      <c r="B13" s="7">
        <f>SUM(Table2[#This Row])</f>
        <v>52346</v>
      </c>
      <c r="C13" s="7">
        <f>SUM(Table3[#This Row])</f>
        <v>35256</v>
      </c>
      <c r="D13" s="7">
        <f t="shared" si="0"/>
        <v>17090</v>
      </c>
      <c r="E13" t="str">
        <f t="shared" si="1"/>
        <v>Within Budget</v>
      </c>
    </row>
    <row r="14" spans="1:18" x14ac:dyDescent="0.35">
      <c r="A14" t="s">
        <v>22</v>
      </c>
      <c r="B14" s="7">
        <f>SUM(Table2[#This Row])</f>
        <v>69630</v>
      </c>
      <c r="C14" s="7">
        <f>SUM(Table3[#This Row])</f>
        <v>41474</v>
      </c>
      <c r="D14" s="7">
        <f t="shared" si="0"/>
        <v>28156</v>
      </c>
      <c r="E14" t="str">
        <f t="shared" si="1"/>
        <v>Within Budget</v>
      </c>
    </row>
    <row r="15" spans="1:18" ht="15" thickBot="1" x14ac:dyDescent="0.4">
      <c r="A15" s="11" t="s">
        <v>23</v>
      </c>
      <c r="B15" s="12">
        <f>SUM(Table2[#This Row])</f>
        <v>57797</v>
      </c>
      <c r="C15" s="12">
        <f>SUM(Table3[#This Row])</f>
        <v>31867</v>
      </c>
      <c r="D15" s="12">
        <f t="shared" si="0"/>
        <v>25930</v>
      </c>
      <c r="E15" s="11" t="str">
        <f t="shared" si="1"/>
        <v>Within Budget</v>
      </c>
    </row>
    <row r="16" spans="1:18" x14ac:dyDescent="0.35">
      <c r="A16" t="s">
        <v>24</v>
      </c>
      <c r="B16" s="7">
        <f>SUM(Table2[#This Row])</f>
        <v>60673</v>
      </c>
      <c r="C16" s="7">
        <f>SUM(Table3[#This Row])</f>
        <v>47316</v>
      </c>
      <c r="D16" s="7">
        <f t="shared" si="0"/>
        <v>13357</v>
      </c>
      <c r="E16" t="str">
        <f t="shared" si="1"/>
        <v>Within Budget</v>
      </c>
    </row>
    <row r="17" spans="1:5" x14ac:dyDescent="0.35">
      <c r="A17" t="s">
        <v>25</v>
      </c>
      <c r="B17" s="7">
        <f>SUM(Table2[#This Row])</f>
        <v>67479</v>
      </c>
      <c r="C17" s="7">
        <f>SUM(Table3[#This Row])</f>
        <v>43489</v>
      </c>
      <c r="D17" s="7">
        <f t="shared" si="0"/>
        <v>23990</v>
      </c>
      <c r="E17" t="str">
        <f t="shared" si="1"/>
        <v>Within Budget</v>
      </c>
    </row>
    <row r="18" spans="1:5" x14ac:dyDescent="0.35">
      <c r="A18" t="s">
        <v>26</v>
      </c>
      <c r="B18" s="7">
        <f>SUM(Table2[#This Row])</f>
        <v>64228</v>
      </c>
      <c r="C18" s="7">
        <f>SUM(Table3[#This Row])</f>
        <v>41357</v>
      </c>
      <c r="D18" s="7">
        <f t="shared" si="0"/>
        <v>22871</v>
      </c>
      <c r="E18" t="str">
        <f t="shared" si="1"/>
        <v>Within Budget</v>
      </c>
    </row>
    <row r="19" spans="1:5" x14ac:dyDescent="0.35">
      <c r="A19" t="s">
        <v>27</v>
      </c>
      <c r="B19" s="7">
        <f>SUM(Table2[#This Row])</f>
        <v>62458</v>
      </c>
      <c r="C19" s="7">
        <f>SUM(Table3[#This Row])</f>
        <v>58752</v>
      </c>
      <c r="D19" s="7">
        <f t="shared" si="0"/>
        <v>3706</v>
      </c>
      <c r="E19" t="str">
        <f t="shared" si="1"/>
        <v>Within Budget</v>
      </c>
    </row>
    <row r="20" spans="1:5" x14ac:dyDescent="0.35">
      <c r="A20" t="s">
        <v>28</v>
      </c>
      <c r="B20" s="7">
        <f>SUM(Table2[#This Row])</f>
        <v>68052</v>
      </c>
      <c r="C20" s="7">
        <f>SUM(Table3[#This Row])</f>
        <v>41332</v>
      </c>
      <c r="D20" s="7">
        <f t="shared" si="0"/>
        <v>26720</v>
      </c>
      <c r="E20" t="str">
        <f t="shared" si="1"/>
        <v>Within Budget</v>
      </c>
    </row>
    <row r="21" spans="1:5" x14ac:dyDescent="0.35">
      <c r="A21" t="s">
        <v>29</v>
      </c>
      <c r="B21" s="7">
        <f>SUM(Table2[#This Row])</f>
        <v>73075</v>
      </c>
      <c r="C21" s="7">
        <f>SUM(Table3[#This Row])</f>
        <v>34396</v>
      </c>
      <c r="D21" s="7">
        <f t="shared" si="0"/>
        <v>38679</v>
      </c>
      <c r="E21" t="str">
        <f t="shared" si="1"/>
        <v>Within Budget</v>
      </c>
    </row>
    <row r="22" spans="1:5" x14ac:dyDescent="0.35">
      <c r="A22" t="s">
        <v>30</v>
      </c>
      <c r="B22" s="7">
        <f>SUM(Table2[#This Row])</f>
        <v>56156</v>
      </c>
      <c r="C22" s="7">
        <f>SUM(Table3[#This Row])</f>
        <v>38582</v>
      </c>
      <c r="D22" s="7">
        <f t="shared" si="0"/>
        <v>17574</v>
      </c>
      <c r="E22" t="str">
        <f t="shared" si="1"/>
        <v>Within Budget</v>
      </c>
    </row>
    <row r="23" spans="1:5" x14ac:dyDescent="0.35">
      <c r="A23" t="s">
        <v>31</v>
      </c>
      <c r="B23" s="7">
        <f>SUM(Table2[#This Row])</f>
        <v>54363</v>
      </c>
      <c r="C23" s="7">
        <f>SUM(Table3[#This Row])</f>
        <v>40004</v>
      </c>
      <c r="D23" s="7">
        <f t="shared" si="0"/>
        <v>14359</v>
      </c>
      <c r="E23" t="str">
        <f t="shared" si="1"/>
        <v>Within Budget</v>
      </c>
    </row>
    <row r="24" spans="1:5" x14ac:dyDescent="0.35">
      <c r="A24" t="s">
        <v>32</v>
      </c>
      <c r="B24" s="7">
        <f>SUM(Table2[#This Row])</f>
        <v>62999</v>
      </c>
      <c r="C24" s="7">
        <f>SUM(Table3[#This Row])</f>
        <v>87974</v>
      </c>
      <c r="D24" s="7">
        <f t="shared" si="0"/>
        <v>-24975</v>
      </c>
      <c r="E24" t="str">
        <f t="shared" si="1"/>
        <v>Overspending</v>
      </c>
    </row>
    <row r="25" spans="1:5" x14ac:dyDescent="0.35">
      <c r="A25" t="s">
        <v>33</v>
      </c>
      <c r="B25" s="7">
        <f>SUM(Table2[#This Row])</f>
        <v>63398</v>
      </c>
      <c r="C25" s="7">
        <f>SUM(Table3[#This Row])</f>
        <v>45628</v>
      </c>
      <c r="D25" s="7">
        <f t="shared" si="0"/>
        <v>17770</v>
      </c>
      <c r="E25" t="str">
        <f t="shared" si="1"/>
        <v>Within Budget</v>
      </c>
    </row>
    <row r="26" spans="1:5" x14ac:dyDescent="0.35">
      <c r="A26" t="s">
        <v>34</v>
      </c>
      <c r="B26" s="7">
        <f>SUM(Table2[#This Row])</f>
        <v>59629</v>
      </c>
      <c r="C26" s="7">
        <f>SUM(Table3[#This Row])</f>
        <v>46811</v>
      </c>
      <c r="D26" s="7">
        <f t="shared" si="0"/>
        <v>12818</v>
      </c>
      <c r="E26" t="str">
        <f t="shared" si="1"/>
        <v>Within Budget</v>
      </c>
    </row>
    <row r="27" spans="1:5" ht="15" thickBot="1" x14ac:dyDescent="0.4">
      <c r="A27" s="11" t="s">
        <v>35</v>
      </c>
      <c r="B27" s="12">
        <f>SUM(Table2[#This Row])</f>
        <v>56428</v>
      </c>
      <c r="C27" s="12">
        <f>SUM(Table3[#This Row])</f>
        <v>77854</v>
      </c>
      <c r="D27" s="12">
        <f t="shared" si="0"/>
        <v>-21426</v>
      </c>
      <c r="E27" s="11" t="str">
        <f t="shared" si="1"/>
        <v>Overspending</v>
      </c>
    </row>
    <row r="28" spans="1:5" x14ac:dyDescent="0.35">
      <c r="A28" t="s">
        <v>36</v>
      </c>
      <c r="B28" s="7">
        <f>SUM(Table2[#This Row])</f>
        <v>54367</v>
      </c>
      <c r="C28" s="7">
        <f>SUM(Table3[#This Row])</f>
        <v>37283</v>
      </c>
      <c r="D28" s="7">
        <f t="shared" si="0"/>
        <v>17084</v>
      </c>
      <c r="E28" t="str">
        <f t="shared" si="1"/>
        <v>Within Budget</v>
      </c>
    </row>
    <row r="29" spans="1:5" x14ac:dyDescent="0.35">
      <c r="A29" t="s">
        <v>37</v>
      </c>
      <c r="B29" s="7">
        <f>SUM(Table2[#This Row])</f>
        <v>58434</v>
      </c>
      <c r="C29" s="7">
        <f>SUM(Table3[#This Row])</f>
        <v>42312</v>
      </c>
      <c r="D29" s="7">
        <f t="shared" si="0"/>
        <v>16122</v>
      </c>
      <c r="E29" t="str">
        <f t="shared" si="1"/>
        <v>Within Budget</v>
      </c>
    </row>
    <row r="30" spans="1:5" x14ac:dyDescent="0.35">
      <c r="A30" t="s">
        <v>38</v>
      </c>
      <c r="B30" s="7">
        <f>SUM(Table2[#This Row])</f>
        <v>57699</v>
      </c>
      <c r="C30" s="7">
        <f>SUM(Table3[#This Row])</f>
        <v>38039</v>
      </c>
      <c r="D30" s="7">
        <f t="shared" si="0"/>
        <v>19660</v>
      </c>
      <c r="E30" t="str">
        <f t="shared" si="1"/>
        <v>Within Budget</v>
      </c>
    </row>
    <row r="31" spans="1:5" x14ac:dyDescent="0.35">
      <c r="A31" t="s">
        <v>39</v>
      </c>
      <c r="B31" s="7">
        <f>SUM(Table2[#This Row])</f>
        <v>60230</v>
      </c>
      <c r="C31" s="7">
        <f>SUM(Table3[#This Row])</f>
        <v>41223</v>
      </c>
      <c r="D31" s="7">
        <f t="shared" si="0"/>
        <v>19007</v>
      </c>
      <c r="E31" t="str">
        <f t="shared" si="1"/>
        <v>Within Budget</v>
      </c>
    </row>
    <row r="32" spans="1:5" x14ac:dyDescent="0.35">
      <c r="A32" t="s">
        <v>40</v>
      </c>
      <c r="B32" s="7">
        <f>SUM(Table2[#This Row])</f>
        <v>58965</v>
      </c>
      <c r="C32" s="7">
        <f>SUM(Table3[#This Row])</f>
        <v>35851</v>
      </c>
      <c r="D32" s="7">
        <f t="shared" si="0"/>
        <v>23114</v>
      </c>
      <c r="E32" t="str">
        <f t="shared" si="1"/>
        <v>Within Budget</v>
      </c>
    </row>
    <row r="33" spans="1:5" x14ac:dyDescent="0.35">
      <c r="A33" t="s">
        <v>41</v>
      </c>
      <c r="B33" s="7">
        <f>SUM(Table2[#This Row])</f>
        <v>59701</v>
      </c>
      <c r="C33" s="7">
        <f>SUM(Table3[#This Row])</f>
        <v>36300</v>
      </c>
      <c r="D33" s="7">
        <f t="shared" si="0"/>
        <v>23401</v>
      </c>
      <c r="E33" t="str">
        <f t="shared" si="1"/>
        <v>Within Budget</v>
      </c>
    </row>
    <row r="34" spans="1:5" x14ac:dyDescent="0.35">
      <c r="A34" t="s">
        <v>42</v>
      </c>
      <c r="B34" s="7">
        <f>SUM(Table2[#This Row])</f>
        <v>62688</v>
      </c>
      <c r="C34" s="7">
        <f>SUM(Table3[#This Row])</f>
        <v>39577</v>
      </c>
      <c r="D34" s="7">
        <f t="shared" si="0"/>
        <v>23111</v>
      </c>
      <c r="E34" t="str">
        <f t="shared" si="1"/>
        <v>Within Budget</v>
      </c>
    </row>
    <row r="35" spans="1:5" x14ac:dyDescent="0.35">
      <c r="A35" t="s">
        <v>43</v>
      </c>
      <c r="B35" s="7">
        <f>SUM(Table2[#This Row])</f>
        <v>64404</v>
      </c>
      <c r="C35" s="7">
        <f>SUM(Table3[#This Row])</f>
        <v>40918</v>
      </c>
      <c r="D35" s="7">
        <f t="shared" si="0"/>
        <v>23486</v>
      </c>
      <c r="E35" t="str">
        <f t="shared" si="1"/>
        <v>Within Budget</v>
      </c>
    </row>
    <row r="36" spans="1:5" x14ac:dyDescent="0.35">
      <c r="A36" t="s">
        <v>44</v>
      </c>
      <c r="B36" s="7">
        <f>SUM(Table2[#This Row])</f>
        <v>68864</v>
      </c>
      <c r="C36" s="7">
        <f>SUM(Table3[#This Row])</f>
        <v>37782</v>
      </c>
      <c r="D36" s="7">
        <f t="shared" si="0"/>
        <v>31082</v>
      </c>
      <c r="E36" t="str">
        <f t="shared" si="1"/>
        <v>Within Budget</v>
      </c>
    </row>
    <row r="37" spans="1:5" x14ac:dyDescent="0.35">
      <c r="A37" t="s">
        <v>45</v>
      </c>
      <c r="B37" s="7">
        <f>SUM(Table2[#This Row])</f>
        <v>69991</v>
      </c>
      <c r="C37" s="7">
        <f>SUM(Table3[#This Row])</f>
        <v>41246</v>
      </c>
      <c r="D37" s="7">
        <f t="shared" si="0"/>
        <v>28745</v>
      </c>
      <c r="E37" t="str">
        <f t="shared" si="1"/>
        <v>Within Budget</v>
      </c>
    </row>
    <row r="38" spans="1:5" x14ac:dyDescent="0.35">
      <c r="A38" t="s">
        <v>46</v>
      </c>
      <c r="B38" s="7">
        <f>SUM(Table2[#This Row])</f>
        <v>60911</v>
      </c>
      <c r="C38" s="7">
        <f>SUM(Table3[#This Row])</f>
        <v>39359</v>
      </c>
      <c r="D38" s="7">
        <f t="shared" si="0"/>
        <v>21552</v>
      </c>
      <c r="E38" t="str">
        <f t="shared" si="1"/>
        <v>Within Budget</v>
      </c>
    </row>
    <row r="39" spans="1:5" ht="15" thickBot="1" x14ac:dyDescent="0.4">
      <c r="A39" s="11" t="s">
        <v>47</v>
      </c>
      <c r="B39" s="12">
        <f>SUM(Table2[#This Row])</f>
        <v>68689</v>
      </c>
      <c r="C39" s="12">
        <f>SUM(Table3[#This Row])</f>
        <v>40339</v>
      </c>
      <c r="D39" s="12">
        <f t="shared" si="0"/>
        <v>28350</v>
      </c>
      <c r="E39" s="11" t="str">
        <f t="shared" si="1"/>
        <v>Within Budget</v>
      </c>
    </row>
  </sheetData>
  <mergeCells count="4">
    <mergeCell ref="G7:J7"/>
    <mergeCell ref="G3:J3"/>
    <mergeCell ref="A1:O1"/>
    <mergeCell ref="L2:R2"/>
  </mergeCells>
  <conditionalFormatting sqref="E4:E39">
    <cfRule type="containsText" dxfId="1" priority="2" operator="containsText" text="Overspending">
      <formula>NOT(ISERROR(SEARCH("Overspending",E4)))</formula>
    </cfRule>
  </conditionalFormatting>
  <conditionalFormatting sqref="A4:E39">
    <cfRule type="expression" dxfId="0" priority="1">
      <formula>$E4="Overspending"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Monthly_data</vt:lpstr>
      <vt:lpstr>Analysis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2025-06-27T18:00:04Z</dcterms:created>
  <dcterms:modified xsi:type="dcterms:W3CDTF">2025-07-01T05:14:43Z</dcterms:modified>
</cp:coreProperties>
</file>