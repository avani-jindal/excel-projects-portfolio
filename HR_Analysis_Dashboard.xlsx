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cer\Desktop\"/>
    </mc:Choice>
  </mc:AlternateContent>
  <bookViews>
    <workbookView xWindow="0" yWindow="0" windowWidth="19200" windowHeight="7190" activeTab="1"/>
  </bookViews>
  <sheets>
    <sheet name="Dashboard" sheetId="2" r:id="rId1"/>
    <sheet name="Data" sheetId="1" r:id="rId2"/>
  </sheets>
  <definedNames>
    <definedName name="_xlcn.WorksheetConnection_employee_datasetAutosaved.xlsxTable1" hidden="1">Table1[]</definedName>
    <definedName name="Slicer_Gender">#N/A</definedName>
  </definedNames>
  <calcPr calcId="152511"/>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a3f28e45-07c4-4724-b272-8fb34685b51d" name="Table1" connection="WorksheetConnection_employee_dataset (Autosaved).xlsx!Table1"/>
        </x15:modelTables>
      </x15:dataModel>
    </ext>
  </extLst>
</workbook>
</file>

<file path=xl/calcChain.xml><?xml version="1.0" encoding="utf-8"?>
<calcChain xmlns="http://schemas.openxmlformats.org/spreadsheetml/2006/main">
  <c r="S4" i="1" l="1"/>
  <c r="U4" i="1"/>
  <c r="T4"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T8" i="1" l="1"/>
  <c r="U8" i="1" s="1"/>
  <c r="T9" i="1"/>
  <c r="U9" i="1" s="1"/>
  <c r="T7" i="1"/>
  <c r="U7" i="1" s="1"/>
  <c r="R6" i="1"/>
  <c r="R7" i="1"/>
  <c r="R8" i="1"/>
  <c r="R9" i="1"/>
  <c r="R5" i="1"/>
  <c r="R4" i="1"/>
  <c r="O36" i="1"/>
  <c r="S36" i="1" s="1"/>
  <c r="G4" i="1"/>
  <c r="P36" i="1"/>
  <c r="Q36" i="1" s="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Q5" i="1"/>
  <c r="Q6" i="1"/>
  <c r="Q7" i="1"/>
  <c r="Q8" i="1"/>
  <c r="Q9" i="1"/>
  <c r="Q4" i="1"/>
  <c r="I5" i="1"/>
  <c r="I6" i="1"/>
  <c r="I7" i="1"/>
  <c r="I8" i="1"/>
  <c r="I9" i="1"/>
  <c r="I13" i="1"/>
  <c r="I14" i="1"/>
  <c r="I15" i="1"/>
  <c r="I16" i="1"/>
  <c r="I17" i="1"/>
  <c r="I21" i="1"/>
  <c r="I22" i="1"/>
  <c r="I23" i="1"/>
  <c r="I24" i="1"/>
  <c r="I25" i="1"/>
  <c r="I29" i="1"/>
  <c r="I30" i="1"/>
  <c r="I31" i="1"/>
  <c r="I32" i="1"/>
  <c r="I33" i="1"/>
  <c r="I4" i="1"/>
  <c r="I10" i="1"/>
  <c r="I11" i="1"/>
  <c r="I12" i="1"/>
  <c r="I18" i="1"/>
  <c r="I19" i="1"/>
  <c r="I20" i="1"/>
  <c r="I26" i="1"/>
  <c r="I27" i="1"/>
  <c r="I28" i="1"/>
  <c r="P5" i="1"/>
  <c r="P6" i="1"/>
  <c r="P7" i="1"/>
  <c r="P8" i="1"/>
  <c r="P9" i="1"/>
  <c r="P4" i="1"/>
  <c r="R36" i="1" l="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mployee_dataset (Autosaved).xlsx!Table1" type="102" refreshedVersion="5" minRefreshableVersion="5">
    <extLst>
      <ext xmlns:x15="http://schemas.microsoft.com/office/spreadsheetml/2010/11/main" uri="{DE250136-89BD-433C-8126-D09CA5730AF9}">
        <x15:connection id="Table1-a3f28e45-07c4-4724-b272-8fb34685b51d">
          <x15:rangePr sourceName="_xlcn.WorksheetConnection_employee_datasetAutosaved.xlsxTable1"/>
        </x15:connection>
      </ext>
    </extLst>
  </connection>
</connections>
</file>

<file path=xl/sharedStrings.xml><?xml version="1.0" encoding="utf-8"?>
<sst xmlns="http://schemas.openxmlformats.org/spreadsheetml/2006/main" count="198" uniqueCount="89">
  <si>
    <t>Name</t>
  </si>
  <si>
    <t>Department</t>
  </si>
  <si>
    <t>Designation</t>
  </si>
  <si>
    <t>Joining Date</t>
  </si>
  <si>
    <t>Leaves Taken</t>
  </si>
  <si>
    <t>Appraisal Score</t>
  </si>
  <si>
    <t>Karen Jones</t>
  </si>
  <si>
    <t>Marketing</t>
  </si>
  <si>
    <t>Digital Marketer</t>
  </si>
  <si>
    <t>Steven Mann</t>
  </si>
  <si>
    <t>HR</t>
  </si>
  <si>
    <t>HR Executive</t>
  </si>
  <si>
    <t>Martha Humphrey</t>
  </si>
  <si>
    <t>Finance</t>
  </si>
  <si>
    <t>Accountant</t>
  </si>
  <si>
    <t>Justin Buchanan</t>
  </si>
  <si>
    <t>Julie Hall</t>
  </si>
  <si>
    <t>Marketing Executive</t>
  </si>
  <si>
    <t>Kristi Horne</t>
  </si>
  <si>
    <t>Engineering</t>
  </si>
  <si>
    <t>Tech Lead</t>
  </si>
  <si>
    <t>Kimberly Cross</t>
  </si>
  <si>
    <t>HR Manager</t>
  </si>
  <si>
    <t>Samantha Serrano</t>
  </si>
  <si>
    <t>Operations</t>
  </si>
  <si>
    <t>Operations Manager</t>
  </si>
  <si>
    <t>Kristin Campbell</t>
  </si>
  <si>
    <t>Gregory Davis</t>
  </si>
  <si>
    <t>Sales</t>
  </si>
  <si>
    <t>Sales Manager</t>
  </si>
  <si>
    <t>Benjamin Trevino</t>
  </si>
  <si>
    <t>Software Engineer</t>
  </si>
  <si>
    <t>Carl Williams</t>
  </si>
  <si>
    <t>Christopher Mason</t>
  </si>
  <si>
    <t>Sales Executive</t>
  </si>
  <si>
    <t>Amanda Ferguson</t>
  </si>
  <si>
    <t>Senior Engineer</t>
  </si>
  <si>
    <t>Jeremy Lynch</t>
  </si>
  <si>
    <t>Ryan Johnson</t>
  </si>
  <si>
    <t>Roger Stark</t>
  </si>
  <si>
    <t>Christopher Brown</t>
  </si>
  <si>
    <t>Jacob Cisneros</t>
  </si>
  <si>
    <t>Stacey Manning</t>
  </si>
  <si>
    <t>Christina Moore</t>
  </si>
  <si>
    <t>Alexa White</t>
  </si>
  <si>
    <t>Operations Associate</t>
  </si>
  <si>
    <t>Jeff Garcia</t>
  </si>
  <si>
    <t>Jimmy Mcknight</t>
  </si>
  <si>
    <t>Finance Manager</t>
  </si>
  <si>
    <t>Peter Miller</t>
  </si>
  <si>
    <t>Deborah Bates</t>
  </si>
  <si>
    <t>Jessica Conley</t>
  </si>
  <si>
    <t>Anna Travis</t>
  </si>
  <si>
    <t>Donna Peters</t>
  </si>
  <si>
    <t>Sandra Patel</t>
  </si>
  <si>
    <t>Tenure</t>
  </si>
  <si>
    <t xml:space="preserve">Department </t>
  </si>
  <si>
    <t>Averge Appraisal Score</t>
  </si>
  <si>
    <t>Netorking Days</t>
  </si>
  <si>
    <t>Low Performers</t>
  </si>
  <si>
    <t>Exit Date</t>
  </si>
  <si>
    <t>Grand Total</t>
  </si>
  <si>
    <t>Sum of Appraisal Score</t>
  </si>
  <si>
    <t>Age</t>
  </si>
  <si>
    <t>Attrition rate</t>
  </si>
  <si>
    <t>AGE GROUP</t>
  </si>
  <si>
    <t>20-&lt;30</t>
  </si>
  <si>
    <t>30-&lt;40</t>
  </si>
  <si>
    <t>40-&gt;40</t>
  </si>
  <si>
    <t>Gender</t>
  </si>
  <si>
    <t>Female</t>
  </si>
  <si>
    <t>Male</t>
  </si>
  <si>
    <t>Count of Exit Date</t>
  </si>
  <si>
    <t>Age Group</t>
  </si>
  <si>
    <t>20-29</t>
  </si>
  <si>
    <t>30-39</t>
  </si>
  <si>
    <t>Total employees</t>
  </si>
  <si>
    <t>Females</t>
  </si>
  <si>
    <t>Males</t>
  </si>
  <si>
    <t>Attrition</t>
  </si>
  <si>
    <t>Attrition Rate</t>
  </si>
  <si>
    <t>Total Employees</t>
  </si>
  <si>
    <t>Average Tenure of employees that left</t>
  </si>
  <si>
    <t>Active Employees</t>
  </si>
  <si>
    <t>Age Groups</t>
  </si>
  <si>
    <t>Departments</t>
  </si>
  <si>
    <t>HR ANALYSIS DASHBOARD</t>
  </si>
  <si>
    <t>Average of Age</t>
  </si>
  <si>
    <t>40-49</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</si>
</sst>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0"/>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49998474074526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14" fontId="0" fillId="0" borderId="0" xfId="0" applyNumberFormat="1" applyAlignment="1">
      <alignment vertical="center"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42" applyFont="1"/>
    <xf numFmtId="0" fontId="0" fillId="33" borderId="11" xfId="0" applyFont="1" applyFill="1" applyBorder="1"/>
    <xf numFmtId="0" fontId="0" fillId="33" borderId="12" xfId="0" applyNumberFormat="1" applyFont="1" applyFill="1" applyBorder="1" applyAlignment="1">
      <alignment vertical="center" wrapText="1"/>
    </xf>
    <xf numFmtId="0" fontId="13" fillId="34" borderId="10" xfId="0" applyFont="1" applyFill="1" applyBorder="1"/>
    <xf numFmtId="0" fontId="13" fillId="34" borderId="0" xfId="0" applyFont="1" applyFill="1" applyBorder="1"/>
    <xf numFmtId="0" fontId="0" fillId="33" borderId="10" xfId="0" applyFont="1" applyFill="1" applyBorder="1"/>
    <xf numFmtId="14" fontId="13" fillId="34" borderId="13" xfId="0" applyNumberFormat="1" applyFont="1" applyFill="1" applyBorder="1" applyAlignment="1">
      <alignment wrapText="1"/>
    </xf>
    <xf numFmtId="2" fontId="0" fillId="33" borderId="11" xfId="0" applyNumberFormat="1" applyFont="1" applyFill="1" applyBorder="1"/>
    <xf numFmtId="9" fontId="0" fillId="33" borderId="10" xfId="42" applyFont="1" applyFill="1" applyBorder="1"/>
    <xf numFmtId="0" fontId="13" fillId="34" borderId="10" xfId="0" applyFont="1" applyFill="1" applyBorder="1" applyAlignment="1">
      <alignment horizontal="left"/>
    </xf>
    <xf numFmtId="0" fontId="18"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19" formatCode="dd/mm/yyyy"/>
    </dxf>
    <dxf>
      <fill>
        <patternFill>
          <bgColor rgb="FFFF6600"/>
        </patternFill>
      </fill>
    </dxf>
  </dxfs>
  <tableStyles count="0" defaultTableStyle="TableStyleMedium2" defaultPivotStyle="PivotStyleLight16"/>
  <colors>
    <mruColors>
      <color rgb="FFFF6600"/>
      <color rgb="FFFF505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5" Type="http://schemas.openxmlformats.org/officeDocument/2006/relationships/pivotCacheDefinition" Target="pivotCache/pivotCacheDefinition3.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noFill/>
              </a:ln>
              <a:effectLst/>
            </c:spPr>
          </c:dPt>
          <c:dPt>
            <c:idx val="1"/>
            <c:bubble3D val="0"/>
            <c:spPr>
              <a:solidFill>
                <a:schemeClr val="bg1">
                  <a:lumMod val="95000"/>
                </a:schemeClr>
              </a:solidFill>
              <a:ln w="19050">
                <a:noFill/>
              </a:ln>
              <a:effectLst/>
            </c:spPr>
          </c:dPt>
          <c:val>
            <c:numRef>
              <c:f>Data!$T$4:$U$4</c:f>
              <c:numCache>
                <c:formatCode>0%</c:formatCode>
                <c:ptCount val="2"/>
                <c:pt idx="0">
                  <c:v>0.56666666666666665</c:v>
                </c:pt>
                <c:pt idx="1">
                  <c:v>0.43333333333333335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solidFill>
                  <a:schemeClr val="lt1"/>
                </a:solidFill>
              </a:ln>
              <a:effectLst/>
            </c:spPr>
          </c:dPt>
          <c:dPt>
            <c:idx val="1"/>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solidFill>
                  <a:schemeClr val="lt1"/>
                </a:solidFill>
              </a:ln>
              <a:effectLst/>
            </c:spPr>
          </c:dPt>
          <c:val>
            <c:numRef>
              <c:f>Data!$T$4:$U$4</c:f>
              <c:numCache>
                <c:formatCode>0%</c:formatCode>
                <c:ptCount val="2"/>
                <c:pt idx="0">
                  <c:v>0.56666666666666665</c:v>
                </c:pt>
                <c:pt idx="1">
                  <c:v>0.43333333333333335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[HR_Analysis_Dashboard.xlsx]Data!PivotTable14</c:name>
    <c:fmtId val="1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s>
    <c:plotArea>
      <c:layout>
        <c:manualLayout>
          <c:layoutTarget val="inner"/>
          <c:xMode val="edge"/>
          <c:yMode val="edge"/>
          <c:x val="5.1231852266620505E-2"/>
          <c:y val="6.3070779090298554E-2"/>
          <c:w val="0.90555533462390503"/>
          <c:h val="0.83408373935226954"/>
        </c:manualLayout>
      </c:layout>
      <c:barChart>
        <c:barDir val="col"/>
        <c:grouping val="clustered"/>
        <c:varyColors val="0"/>
        <c:ser>
          <c:idx val="0"/>
          <c:order val="0"/>
          <c:tx>
            <c:strRef>
              <c:f>Data!$P$21</c:f>
              <c:strCache>
                <c:ptCount val="1"/>
                <c:pt idx="0">
                  <c:v>Total</c:v>
                </c:pt>
              </c:strCache>
            </c:strRef>
          </c:tx>
          <c:spPr>
            <a:solidFill>
              <a:schemeClr val="accent4"/>
            </a:solidFill>
            <a:ln>
              <a:noFill/>
            </a:ln>
            <a:effectLst/>
          </c:spPr>
          <c:invertIfNegative val="0"/>
          <c:cat>
            <c:strRef>
              <c:f>Data!$O$22:$O$28</c:f>
              <c:strCache>
                <c:ptCount val="6"/>
                <c:pt idx="0">
                  <c:v>Engineering</c:v>
                </c:pt>
                <c:pt idx="1">
                  <c:v>Finance</c:v>
                </c:pt>
                <c:pt idx="2">
                  <c:v>HR</c:v>
                </c:pt>
                <c:pt idx="3">
                  <c:v>Marketing</c:v>
                </c:pt>
                <c:pt idx="4">
                  <c:v>Operations</c:v>
                </c:pt>
                <c:pt idx="5">
                  <c:v>Sales</c:v>
                </c:pt>
              </c:strCache>
            </c:strRef>
          </c:cat>
          <c:val>
            <c:numRef>
              <c:f>Data!$P$22:$P$28</c:f>
              <c:numCache>
                <c:formatCode>General</c:formatCode>
                <c:ptCount val="6"/>
                <c:pt idx="0">
                  <c:v>23.48</c:v>
                </c:pt>
                <c:pt idx="1">
                  <c:v>11.19</c:v>
                </c:pt>
                <c:pt idx="2">
                  <c:v>18.170000000000002</c:v>
                </c:pt>
                <c:pt idx="3">
                  <c:v>20.75</c:v>
                </c:pt>
                <c:pt idx="4">
                  <c:v>12.4</c:v>
                </c:pt>
                <c:pt idx="5">
                  <c:v>10.210000000000001</c:v>
                </c:pt>
              </c:numCache>
            </c:numRef>
          </c:val>
        </c:ser>
        <c:dLbls>
          <c:showLegendKey val="0"/>
          <c:showVal val="0"/>
          <c:showCatName val="0"/>
          <c:showSerName val="0"/>
          <c:showPercent val="0"/>
          <c:showBubbleSize val="0"/>
        </c:dLbls>
        <c:gapWidth val="219"/>
        <c:overlap val="-27"/>
        <c:axId val="227106384"/>
        <c:axId val="270539832"/>
      </c:barChart>
      <c:catAx>
        <c:axId val="227106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39832"/>
        <c:crosses val="autoZero"/>
        <c:auto val="1"/>
        <c:lblAlgn val="ctr"/>
        <c:lblOffset val="100"/>
        <c:noMultiLvlLbl val="0"/>
      </c:catAx>
      <c:valAx>
        <c:axId val="270539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106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[HR_Analysis_Dashboard.xlsx]Data!PivotTable9</c:name>
    <c:fmtId val="12"/>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pivotFmt>
      <c:pivotFmt>
        <c:idx val="6"/>
        <c:spPr>
          <a:solidFill>
            <a:schemeClr val="accent2">
              <a:shade val="76000"/>
            </a:schemeClr>
          </a:solidFill>
          <a:ln w="19050">
            <a:solidFill>
              <a:schemeClr val="lt1"/>
            </a:solidFill>
          </a:ln>
          <a:effectLst/>
        </c:spPr>
      </c:pivotFmt>
      <c:pivotFmt>
        <c:idx val="7"/>
        <c:spPr>
          <a:solidFill>
            <a:schemeClr val="accent2">
              <a:tint val="77000"/>
            </a:schemeClr>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pieChart>
        <c:varyColors val="1"/>
        <c:ser>
          <c:idx val="0"/>
          <c:order val="0"/>
          <c:tx>
            <c:strRef>
              <c:f>Data!$S$29</c:f>
              <c:strCache>
                <c:ptCount val="1"/>
                <c:pt idx="0">
                  <c:v>Total</c:v>
                </c:pt>
              </c:strCache>
            </c:strRef>
          </c:tx>
          <c:dPt>
            <c:idx val="0"/>
            <c:bubble3D val="0"/>
            <c:spPr>
              <a:solidFill>
                <a:schemeClr val="accent2">
                  <a:shade val="76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Pt>
            <c:idx val="2"/>
            <c:bubble3D val="0"/>
            <c:spPr>
              <a:solidFill>
                <a:schemeClr val="accent2">
                  <a:tint val="65000"/>
                </a:schemeClr>
              </a:solidFill>
              <a:ln w="19050">
                <a:solidFill>
                  <a:schemeClr val="lt1"/>
                </a:solidFill>
              </a:ln>
              <a:effectLst/>
            </c:spPr>
          </c:dPt>
          <c:cat>
            <c:strRef>
              <c:f>Data!$R$30:$R$33</c:f>
              <c:strCache>
                <c:ptCount val="3"/>
                <c:pt idx="0">
                  <c:v>20-29</c:v>
                </c:pt>
                <c:pt idx="1">
                  <c:v>30-39</c:v>
                </c:pt>
                <c:pt idx="2">
                  <c:v>40-49</c:v>
                </c:pt>
              </c:strCache>
            </c:strRef>
          </c:cat>
          <c:val>
            <c:numRef>
              <c:f>Data!$S$30:$S$33</c:f>
              <c:numCache>
                <c:formatCode>General</c:formatCode>
                <c:ptCount val="3"/>
                <c:pt idx="0">
                  <c:v>3</c:v>
                </c:pt>
                <c:pt idx="1">
                  <c:v>6</c:v>
                </c:pt>
                <c:pt idx="2">
                  <c:v>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[HR_Analysis_Dashboard.xlsx]Data!PivotTable10</c:name>
    <c:fmtId val="1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hade val="76000"/>
            </a:schemeClr>
          </a:solidFill>
          <a:ln w="19050">
            <a:solidFill>
              <a:schemeClr val="lt1"/>
            </a:solidFill>
          </a:ln>
          <a:effectLst/>
        </c:spPr>
      </c:pivotFmt>
      <c:pivotFmt>
        <c:idx val="9"/>
        <c:spPr>
          <a:solidFill>
            <a:schemeClr val="accent1">
              <a:tint val="77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Data!$S$21</c:f>
              <c:strCache>
                <c:ptCount val="1"/>
                <c:pt idx="0">
                  <c:v>Total</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tint val="77000"/>
                </a:schemeClr>
              </a:solidFill>
              <a:ln w="19050">
                <a:solidFill>
                  <a:schemeClr val="lt1"/>
                </a:solidFill>
              </a:ln>
              <a:effectLst/>
            </c:spPr>
          </c:dPt>
          <c:dPt>
            <c:idx val="4"/>
            <c:bubble3D val="0"/>
            <c:spPr>
              <a:solidFill>
                <a:schemeClr val="accent1">
                  <a:tint val="54000"/>
                </a:schemeClr>
              </a:solidFill>
              <a:ln w="19050">
                <a:solidFill>
                  <a:schemeClr val="lt1"/>
                </a:solidFill>
              </a:ln>
              <a:effectLst/>
            </c:spPr>
          </c:dPt>
          <c:cat>
            <c:strRef>
              <c:f>Data!$R$22:$R$27</c:f>
              <c:strCache>
                <c:ptCount val="5"/>
                <c:pt idx="0">
                  <c:v>Engineering</c:v>
                </c:pt>
                <c:pt idx="1">
                  <c:v>Finance</c:v>
                </c:pt>
                <c:pt idx="2">
                  <c:v>HR</c:v>
                </c:pt>
                <c:pt idx="3">
                  <c:v>Marketing</c:v>
                </c:pt>
                <c:pt idx="4">
                  <c:v>Operations</c:v>
                </c:pt>
              </c:strCache>
            </c:strRef>
          </c:cat>
          <c:val>
            <c:numRef>
              <c:f>Data!$S$22:$S$27</c:f>
              <c:numCache>
                <c:formatCode>General</c:formatCode>
                <c:ptCount val="5"/>
                <c:pt idx="0">
                  <c:v>4</c:v>
                </c:pt>
                <c:pt idx="1">
                  <c:v>1</c:v>
                </c:pt>
                <c:pt idx="2">
                  <c:v>1</c:v>
                </c:pt>
                <c:pt idx="3">
                  <c:v>3</c:v>
                </c:pt>
                <c:pt idx="4">
                  <c:v>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19050</xdr:rowOff>
    </xdr:from>
    <xdr:to>
      <xdr:col>11</xdr:col>
      <xdr:colOff>577850</xdr:colOff>
      <xdr:row>24</xdr:row>
      <xdr:rowOff>156882</xdr:rowOff>
    </xdr:to>
    <xdr:sp macro="" textlink="">
      <xdr:nvSpPr>
        <xdr:cNvPr id="2" name="Rectangle 1"/>
        <xdr:cNvSpPr/>
      </xdr:nvSpPr>
      <xdr:spPr>
        <a:xfrm>
          <a:off x="6350" y="19050"/>
          <a:ext cx="7309971" cy="462018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31750</xdr:rowOff>
    </xdr:from>
    <xdr:to>
      <xdr:col>11</xdr:col>
      <xdr:colOff>514350</xdr:colOff>
      <xdr:row>2</xdr:row>
      <xdr:rowOff>101600</xdr:rowOff>
    </xdr:to>
    <xdr:sp macro="" textlink="">
      <xdr:nvSpPr>
        <xdr:cNvPr id="3" name="Rounded Rectangle 2"/>
        <xdr:cNvSpPr/>
      </xdr:nvSpPr>
      <xdr:spPr>
        <a:xfrm>
          <a:off x="38100" y="31750"/>
          <a:ext cx="7181850" cy="4381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latin typeface="Arial Black" panose="020B0A04020102020204" pitchFamily="34" charset="0"/>
            </a:rPr>
            <a:t>HR</a:t>
          </a:r>
          <a:r>
            <a:rPr lang="en-IN" sz="2000" b="1" baseline="0">
              <a:solidFill>
                <a:schemeClr val="tx1"/>
              </a:solidFill>
              <a:latin typeface="Arial Black" panose="020B0A04020102020204" pitchFamily="34" charset="0"/>
            </a:rPr>
            <a:t> ANALYSIS DASHBOARD</a:t>
          </a:r>
          <a:endParaRPr lang="en-IN" sz="2000" b="1">
            <a:solidFill>
              <a:schemeClr val="tx1"/>
            </a:solidFill>
            <a:latin typeface="Arial Black" panose="020B0A04020102020204" pitchFamily="34" charset="0"/>
          </a:endParaRPr>
        </a:p>
      </xdr:txBody>
    </xdr:sp>
    <xdr:clientData/>
  </xdr:twoCellAnchor>
  <xdr:twoCellAnchor>
    <xdr:from>
      <xdr:col>0</xdr:col>
      <xdr:colOff>50800</xdr:colOff>
      <xdr:row>2</xdr:row>
      <xdr:rowOff>139700</xdr:rowOff>
    </xdr:from>
    <xdr:to>
      <xdr:col>2</xdr:col>
      <xdr:colOff>596900</xdr:colOff>
      <xdr:row>5</xdr:row>
      <xdr:rowOff>117661</xdr:rowOff>
    </xdr:to>
    <xdr:sp macro="" textlink="">
      <xdr:nvSpPr>
        <xdr:cNvPr id="4" name="Rounded Rectangle 3"/>
        <xdr:cNvSpPr/>
      </xdr:nvSpPr>
      <xdr:spPr>
        <a:xfrm>
          <a:off x="50800" y="513229"/>
          <a:ext cx="1771276" cy="538256"/>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a:t>
          </a:r>
          <a:r>
            <a:rPr lang="en-IN" sz="1200" b="1" baseline="0">
              <a:solidFill>
                <a:schemeClr val="tx1"/>
              </a:solidFill>
            </a:rPr>
            <a:t> Employees</a:t>
          </a:r>
          <a:endParaRPr lang="en-IN" sz="1200" b="1">
            <a:solidFill>
              <a:schemeClr val="tx1"/>
            </a:solidFill>
          </a:endParaRPr>
        </a:p>
      </xdr:txBody>
    </xdr:sp>
    <xdr:clientData/>
  </xdr:twoCellAnchor>
  <xdr:twoCellAnchor>
    <xdr:from>
      <xdr:col>3</xdr:col>
      <xdr:colOff>31750</xdr:colOff>
      <xdr:row>2</xdr:row>
      <xdr:rowOff>152400</xdr:rowOff>
    </xdr:from>
    <xdr:to>
      <xdr:col>5</xdr:col>
      <xdr:colOff>577850</xdr:colOff>
      <xdr:row>5</xdr:row>
      <xdr:rowOff>130361</xdr:rowOff>
    </xdr:to>
    <xdr:sp macro="" textlink="">
      <xdr:nvSpPr>
        <xdr:cNvPr id="5" name="Rounded Rectangle 4"/>
        <xdr:cNvSpPr/>
      </xdr:nvSpPr>
      <xdr:spPr>
        <a:xfrm>
          <a:off x="1869515" y="525929"/>
          <a:ext cx="1771276" cy="538256"/>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Attrition</a:t>
          </a:r>
        </a:p>
      </xdr:txBody>
    </xdr:sp>
    <xdr:clientData/>
  </xdr:twoCellAnchor>
  <xdr:twoCellAnchor>
    <xdr:from>
      <xdr:col>6</xdr:col>
      <xdr:colOff>0</xdr:colOff>
      <xdr:row>2</xdr:row>
      <xdr:rowOff>158750</xdr:rowOff>
    </xdr:from>
    <xdr:to>
      <xdr:col>8</xdr:col>
      <xdr:colOff>546100</xdr:colOff>
      <xdr:row>5</xdr:row>
      <xdr:rowOff>136711</xdr:rowOff>
    </xdr:to>
    <xdr:sp macro="" textlink="">
      <xdr:nvSpPr>
        <xdr:cNvPr id="6" name="Rounded Rectangle 5"/>
        <xdr:cNvSpPr/>
      </xdr:nvSpPr>
      <xdr:spPr>
        <a:xfrm>
          <a:off x="3675529" y="532279"/>
          <a:ext cx="1771277" cy="538256"/>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Active Employees</a:t>
          </a:r>
        </a:p>
      </xdr:txBody>
    </xdr:sp>
    <xdr:clientData/>
  </xdr:twoCellAnchor>
  <xdr:twoCellAnchor>
    <xdr:from>
      <xdr:col>8</xdr:col>
      <xdr:colOff>590550</xdr:colOff>
      <xdr:row>2</xdr:row>
      <xdr:rowOff>171450</xdr:rowOff>
    </xdr:from>
    <xdr:to>
      <xdr:col>11</xdr:col>
      <xdr:colOff>527050</xdr:colOff>
      <xdr:row>5</xdr:row>
      <xdr:rowOff>149411</xdr:rowOff>
    </xdr:to>
    <xdr:sp macro="" textlink="">
      <xdr:nvSpPr>
        <xdr:cNvPr id="7" name="Rounded Rectangle 6"/>
        <xdr:cNvSpPr/>
      </xdr:nvSpPr>
      <xdr:spPr>
        <a:xfrm>
          <a:off x="5491256" y="544979"/>
          <a:ext cx="1774265" cy="538256"/>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Attrition Rate</a:t>
          </a:r>
        </a:p>
      </xdr:txBody>
    </xdr:sp>
    <xdr:clientData/>
  </xdr:twoCellAnchor>
  <xdr:twoCellAnchor>
    <xdr:from>
      <xdr:col>0</xdr:col>
      <xdr:colOff>57150</xdr:colOff>
      <xdr:row>5</xdr:row>
      <xdr:rowOff>172944</xdr:rowOff>
    </xdr:from>
    <xdr:to>
      <xdr:col>5</xdr:col>
      <xdr:colOff>520700</xdr:colOff>
      <xdr:row>15</xdr:row>
      <xdr:rowOff>88900</xdr:rowOff>
    </xdr:to>
    <xdr:sp macro="" textlink="">
      <xdr:nvSpPr>
        <xdr:cNvPr id="8" name="Rounded Rectangle 7"/>
        <xdr:cNvSpPr/>
      </xdr:nvSpPr>
      <xdr:spPr>
        <a:xfrm>
          <a:off x="57150" y="1106768"/>
          <a:ext cx="3526491" cy="178360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Employees By Gender</a:t>
          </a:r>
          <a:endParaRPr lang="en-IN" sz="1200" b="1">
            <a:solidFill>
              <a:schemeClr val="tx1"/>
            </a:solidFill>
          </a:endParaRPr>
        </a:p>
      </xdr:txBody>
    </xdr:sp>
    <xdr:clientData/>
  </xdr:twoCellAnchor>
  <xdr:twoCellAnchor>
    <xdr:from>
      <xdr:col>5</xdr:col>
      <xdr:colOff>571500</xdr:colOff>
      <xdr:row>5</xdr:row>
      <xdr:rowOff>179294</xdr:rowOff>
    </xdr:from>
    <xdr:to>
      <xdr:col>11</xdr:col>
      <xdr:colOff>501650</xdr:colOff>
      <xdr:row>15</xdr:row>
      <xdr:rowOff>95250</xdr:rowOff>
    </xdr:to>
    <xdr:sp macro="" textlink="">
      <xdr:nvSpPr>
        <xdr:cNvPr id="9" name="Rounded Rectangle 8"/>
        <xdr:cNvSpPr/>
      </xdr:nvSpPr>
      <xdr:spPr>
        <a:xfrm>
          <a:off x="3634441" y="1113118"/>
          <a:ext cx="3605680" cy="178360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Department</a:t>
          </a:r>
          <a:r>
            <a:rPr lang="en-IN" sz="1200" b="1" baseline="0">
              <a:solidFill>
                <a:schemeClr val="tx1"/>
              </a:solidFill>
            </a:rPr>
            <a:t>- Wise Average Appraisal Score</a:t>
          </a:r>
          <a:endParaRPr lang="en-IN" sz="1200" b="1">
            <a:solidFill>
              <a:schemeClr val="tx1"/>
            </a:solidFill>
          </a:endParaRPr>
        </a:p>
      </xdr:txBody>
    </xdr:sp>
    <xdr:clientData/>
  </xdr:twoCellAnchor>
  <xdr:twoCellAnchor>
    <xdr:from>
      <xdr:col>0</xdr:col>
      <xdr:colOff>64623</xdr:colOff>
      <xdr:row>15</xdr:row>
      <xdr:rowOff>143062</xdr:rowOff>
    </xdr:from>
    <xdr:to>
      <xdr:col>3</xdr:col>
      <xdr:colOff>487084</xdr:colOff>
      <xdr:row>24</xdr:row>
      <xdr:rowOff>68729</xdr:rowOff>
    </xdr:to>
    <xdr:sp macro="" textlink="">
      <xdr:nvSpPr>
        <xdr:cNvPr id="10" name="Rounded Rectangle 9"/>
        <xdr:cNvSpPr/>
      </xdr:nvSpPr>
      <xdr:spPr>
        <a:xfrm>
          <a:off x="64623" y="2944533"/>
          <a:ext cx="2260226" cy="160654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Attrition By Age Goroup</a:t>
          </a:r>
        </a:p>
      </xdr:txBody>
    </xdr:sp>
    <xdr:clientData/>
  </xdr:twoCellAnchor>
  <xdr:twoCellAnchor>
    <xdr:from>
      <xdr:col>3</xdr:col>
      <xdr:colOff>553199</xdr:colOff>
      <xdr:row>15</xdr:row>
      <xdr:rowOff>153521</xdr:rowOff>
    </xdr:from>
    <xdr:to>
      <xdr:col>8</xdr:col>
      <xdr:colOff>52293</xdr:colOff>
      <xdr:row>24</xdr:row>
      <xdr:rowOff>79188</xdr:rowOff>
    </xdr:to>
    <xdr:sp macro="" textlink="">
      <xdr:nvSpPr>
        <xdr:cNvPr id="11" name="Rounded Rectangle 10"/>
        <xdr:cNvSpPr/>
      </xdr:nvSpPr>
      <xdr:spPr>
        <a:xfrm>
          <a:off x="2390964" y="2954992"/>
          <a:ext cx="2562035" cy="160654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Departmet</a:t>
          </a:r>
          <a:r>
            <a:rPr lang="en-IN" sz="1100" b="1" baseline="0">
              <a:solidFill>
                <a:schemeClr val="tx1"/>
              </a:solidFill>
            </a:rPr>
            <a:t> Wise Attrition </a:t>
          </a:r>
          <a:endParaRPr lang="en-IN" sz="1100" b="1">
            <a:solidFill>
              <a:schemeClr val="tx1"/>
            </a:solidFill>
          </a:endParaRPr>
        </a:p>
      </xdr:txBody>
    </xdr:sp>
    <xdr:clientData/>
  </xdr:twoCellAnchor>
  <xdr:twoCellAnchor>
    <xdr:from>
      <xdr:col>8</xdr:col>
      <xdr:colOff>115422</xdr:colOff>
      <xdr:row>15</xdr:row>
      <xdr:rowOff>141568</xdr:rowOff>
    </xdr:from>
    <xdr:to>
      <xdr:col>11</xdr:col>
      <xdr:colOff>537883</xdr:colOff>
      <xdr:row>24</xdr:row>
      <xdr:rowOff>67235</xdr:rowOff>
    </xdr:to>
    <xdr:sp macro="" textlink="">
      <xdr:nvSpPr>
        <xdr:cNvPr id="12" name="Rounded Rectangle 11"/>
        <xdr:cNvSpPr/>
      </xdr:nvSpPr>
      <xdr:spPr>
        <a:xfrm>
          <a:off x="5016128" y="2943039"/>
          <a:ext cx="2260226" cy="160654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164350</xdr:colOff>
      <xdr:row>17</xdr:row>
      <xdr:rowOff>59763</xdr:rowOff>
    </xdr:from>
    <xdr:to>
      <xdr:col>3</xdr:col>
      <xdr:colOff>89643</xdr:colOff>
      <xdr:row>17</xdr:row>
      <xdr:rowOff>74704</xdr:rowOff>
    </xdr:to>
    <xdr:cxnSp macro="">
      <xdr:nvCxnSpPr>
        <xdr:cNvPr id="15" name="Straight Connector 14"/>
        <xdr:cNvCxnSpPr/>
      </xdr:nvCxnSpPr>
      <xdr:spPr>
        <a:xfrm flipV="1">
          <a:off x="164350" y="3234763"/>
          <a:ext cx="1763058" cy="1494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25397</xdr:colOff>
      <xdr:row>17</xdr:row>
      <xdr:rowOff>77693</xdr:rowOff>
    </xdr:from>
    <xdr:to>
      <xdr:col>6</xdr:col>
      <xdr:colOff>563279</xdr:colOff>
      <xdr:row>17</xdr:row>
      <xdr:rowOff>92634</xdr:rowOff>
    </xdr:to>
    <xdr:cxnSp macro="">
      <xdr:nvCxnSpPr>
        <xdr:cNvPr id="17" name="Straight Connector 16"/>
        <xdr:cNvCxnSpPr/>
      </xdr:nvCxnSpPr>
      <xdr:spPr>
        <a:xfrm flipV="1">
          <a:off x="2475750" y="3252693"/>
          <a:ext cx="1763058" cy="1494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268943</xdr:colOff>
      <xdr:row>3</xdr:row>
      <xdr:rowOff>141939</xdr:rowOff>
    </xdr:from>
    <xdr:to>
      <xdr:col>2</xdr:col>
      <xdr:colOff>328708</xdr:colOff>
      <xdr:row>6</xdr:row>
      <xdr:rowOff>22409</xdr:rowOff>
    </xdr:to>
    <xdr:sp macro="" textlink="Data!S4">
      <xdr:nvSpPr>
        <xdr:cNvPr id="18" name="TextBox 17"/>
        <xdr:cNvSpPr txBox="1"/>
      </xdr:nvSpPr>
      <xdr:spPr>
        <a:xfrm>
          <a:off x="268943" y="702233"/>
          <a:ext cx="1284941" cy="440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2E0420-12A8-4900-826C-0FC6A924A299}" type="TxLink">
            <a:rPr lang="en-US" sz="1800" b="1" i="0" u="none" strike="noStrike">
              <a:solidFill>
                <a:srgbClr val="000000"/>
              </a:solidFill>
              <a:latin typeface="Calibri"/>
              <a:ea typeface="Calibri"/>
              <a:cs typeface="Calibri"/>
            </a:rPr>
            <a:pPr algn="ctr"/>
            <a:t>30</a:t>
          </a:fld>
          <a:endParaRPr lang="en-IN" sz="1800" b="1"/>
        </a:p>
      </xdr:txBody>
    </xdr:sp>
    <xdr:clientData/>
  </xdr:twoCellAnchor>
  <xdr:twoCellAnchor>
    <xdr:from>
      <xdr:col>3</xdr:col>
      <xdr:colOff>189754</xdr:colOff>
      <xdr:row>3</xdr:row>
      <xdr:rowOff>144927</xdr:rowOff>
    </xdr:from>
    <xdr:to>
      <xdr:col>5</xdr:col>
      <xdr:colOff>249519</xdr:colOff>
      <xdr:row>6</xdr:row>
      <xdr:rowOff>25397</xdr:rowOff>
    </xdr:to>
    <xdr:sp macro="" textlink="Data!P36">
      <xdr:nvSpPr>
        <xdr:cNvPr id="19" name="TextBox 18"/>
        <xdr:cNvSpPr txBox="1"/>
      </xdr:nvSpPr>
      <xdr:spPr>
        <a:xfrm>
          <a:off x="2027519" y="705221"/>
          <a:ext cx="1284941" cy="440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A70286-FBC7-43D0-96D4-A84852541F79}" type="TxLink">
            <a:rPr lang="en-US" sz="1800" b="1" i="0" u="none" strike="noStrike">
              <a:solidFill>
                <a:srgbClr val="000000"/>
              </a:solidFill>
              <a:latin typeface="Calibri"/>
              <a:ea typeface="Calibri"/>
              <a:cs typeface="Calibri"/>
            </a:rPr>
            <a:pPr algn="ctr"/>
            <a:t>10</a:t>
          </a:fld>
          <a:endParaRPr lang="en-IN" sz="1800" b="1"/>
        </a:p>
      </xdr:txBody>
    </xdr:sp>
    <xdr:clientData/>
  </xdr:twoCellAnchor>
  <xdr:twoCellAnchor>
    <xdr:from>
      <xdr:col>6</xdr:col>
      <xdr:colOff>237567</xdr:colOff>
      <xdr:row>3</xdr:row>
      <xdr:rowOff>155386</xdr:rowOff>
    </xdr:from>
    <xdr:to>
      <xdr:col>8</xdr:col>
      <xdr:colOff>297331</xdr:colOff>
      <xdr:row>6</xdr:row>
      <xdr:rowOff>35856</xdr:rowOff>
    </xdr:to>
    <xdr:sp macro="" textlink="Data!S36">
      <xdr:nvSpPr>
        <xdr:cNvPr id="20" name="TextBox 19"/>
        <xdr:cNvSpPr txBox="1"/>
      </xdr:nvSpPr>
      <xdr:spPr>
        <a:xfrm>
          <a:off x="3913096" y="715680"/>
          <a:ext cx="1284941" cy="440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03E2E7-190A-4BD9-91AA-C399CD3A9685}" type="TxLink">
            <a:rPr lang="en-US" sz="1800" b="1" i="0" u="none" strike="noStrike">
              <a:solidFill>
                <a:srgbClr val="000000"/>
              </a:solidFill>
              <a:latin typeface="Calibri"/>
              <a:ea typeface="Calibri"/>
              <a:cs typeface="Calibri"/>
            </a:rPr>
            <a:pPr algn="ctr"/>
            <a:t>20</a:t>
          </a:fld>
          <a:endParaRPr lang="en-US" sz="1800" b="1"/>
        </a:p>
      </xdr:txBody>
    </xdr:sp>
    <xdr:clientData/>
  </xdr:twoCellAnchor>
  <xdr:twoCellAnchor>
    <xdr:from>
      <xdr:col>9</xdr:col>
      <xdr:colOff>218144</xdr:colOff>
      <xdr:row>3</xdr:row>
      <xdr:rowOff>180786</xdr:rowOff>
    </xdr:from>
    <xdr:to>
      <xdr:col>11</xdr:col>
      <xdr:colOff>277908</xdr:colOff>
      <xdr:row>6</xdr:row>
      <xdr:rowOff>61256</xdr:rowOff>
    </xdr:to>
    <xdr:sp macro="" textlink="Data!Q36">
      <xdr:nvSpPr>
        <xdr:cNvPr id="21" name="TextBox 20"/>
        <xdr:cNvSpPr txBox="1"/>
      </xdr:nvSpPr>
      <xdr:spPr>
        <a:xfrm>
          <a:off x="5731438" y="741080"/>
          <a:ext cx="1284941" cy="440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8178A4-B7EC-44A4-893B-4AC028BA244F}" type="TxLink">
            <a:rPr lang="en-US" sz="1800" b="1" i="0" u="none" strike="noStrike">
              <a:solidFill>
                <a:srgbClr val="000000"/>
              </a:solidFill>
              <a:latin typeface="Calibri"/>
              <a:ea typeface="Calibri"/>
              <a:cs typeface="Calibri"/>
            </a:rPr>
            <a:pPr algn="ctr"/>
            <a:t>33.33</a:t>
          </a:fld>
          <a:endParaRPr lang="en-IN" sz="1800" b="1"/>
        </a:p>
      </xdr:txBody>
    </xdr:sp>
    <xdr:clientData/>
  </xdr:twoCellAnchor>
  <xdr:twoCellAnchor>
    <xdr:from>
      <xdr:col>0</xdr:col>
      <xdr:colOff>0</xdr:colOff>
      <xdr:row>7</xdr:row>
      <xdr:rowOff>172358</xdr:rowOff>
    </xdr:from>
    <xdr:to>
      <xdr:col>2</xdr:col>
      <xdr:colOff>322837</xdr:colOff>
      <xdr:row>14</xdr:row>
      <xdr:rowOff>82710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282281</xdr:colOff>
      <xdr:row>7</xdr:row>
      <xdr:rowOff>141942</xdr:rowOff>
    </xdr:from>
    <xdr:to>
      <xdr:col>5</xdr:col>
      <xdr:colOff>605118</xdr:colOff>
      <xdr:row>14</xdr:row>
      <xdr:rowOff>52294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167338</xdr:colOff>
      <xdr:row>7</xdr:row>
      <xdr:rowOff>119529</xdr:rowOff>
    </xdr:from>
    <xdr:to>
      <xdr:col>5</xdr:col>
      <xdr:colOff>291353</xdr:colOff>
      <xdr:row>7</xdr:row>
      <xdr:rowOff>144928</xdr:rowOff>
    </xdr:to>
    <xdr:cxnSp macro="">
      <xdr:nvCxnSpPr>
        <xdr:cNvPr id="24" name="Straight Connector 23"/>
        <xdr:cNvCxnSpPr/>
      </xdr:nvCxnSpPr>
      <xdr:spPr>
        <a:xfrm flipV="1">
          <a:off x="167338" y="1426882"/>
          <a:ext cx="3186956" cy="25399"/>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125503</xdr:colOff>
      <xdr:row>7</xdr:row>
      <xdr:rowOff>140445</xdr:rowOff>
    </xdr:from>
    <xdr:to>
      <xdr:col>11</xdr:col>
      <xdr:colOff>261470</xdr:colOff>
      <xdr:row>7</xdr:row>
      <xdr:rowOff>149412</xdr:rowOff>
    </xdr:to>
    <xdr:cxnSp macro="">
      <xdr:nvCxnSpPr>
        <xdr:cNvPr id="26" name="Straight Connector 25"/>
        <xdr:cNvCxnSpPr/>
      </xdr:nvCxnSpPr>
      <xdr:spPr>
        <a:xfrm>
          <a:off x="3801032" y="1447798"/>
          <a:ext cx="3198909" cy="8967"/>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8</xdr:col>
      <xdr:colOff>314832</xdr:colOff>
      <xdr:row>16</xdr:row>
      <xdr:rowOff>139861</xdr:rowOff>
    </xdr:from>
    <xdr:to>
      <xdr:col>11</xdr:col>
      <xdr:colOff>305867</xdr:colOff>
      <xdr:row>23</xdr:row>
      <xdr:rowOff>37354</xdr:rowOff>
    </xdr:to>
    <mc:AlternateContent xmlns:mc="http://schemas.openxmlformats.org/markup-compatibility/2006" xmlns:a14="http://schemas.microsoft.com/office/drawing/2010/main">
      <mc:Choice Requires="a14">
        <xdr:graphicFrame macro="">
          <xdr:nvGraphicFramePr>
            <xdr:cNvPr id="2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5538" y="3128096"/>
              <a:ext cx="1828800" cy="1204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162538</xdr:colOff>
      <xdr:row>8</xdr:row>
      <xdr:rowOff>40339</xdr:rowOff>
    </xdr:from>
    <xdr:to>
      <xdr:col>11</xdr:col>
      <xdr:colOff>261470</xdr:colOff>
      <xdr:row>15</xdr:row>
      <xdr:rowOff>52294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171823</xdr:colOff>
      <xdr:row>16</xdr:row>
      <xdr:rowOff>76521</xdr:rowOff>
    </xdr:from>
    <xdr:to>
      <xdr:col>3</xdr:col>
      <xdr:colOff>358587</xdr:colOff>
      <xdr:row>25</xdr:row>
      <xdr:rowOff>104588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597647</xdr:colOff>
      <xdr:row>17</xdr:row>
      <xdr:rowOff>102774</xdr:rowOff>
    </xdr:from>
    <xdr:to>
      <xdr:col>7</xdr:col>
      <xdr:colOff>522941</xdr:colOff>
      <xdr:row>24</xdr:row>
      <xdr:rowOff>119529</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149412</xdr:colOff>
      <xdr:row>8</xdr:row>
      <xdr:rowOff>14941</xdr:rowOff>
    </xdr:from>
    <xdr:to>
      <xdr:col>3</xdr:col>
      <xdr:colOff>448235</xdr:colOff>
      <xdr:row>9</xdr:row>
      <xdr:rowOff>29883</xdr:rowOff>
    </xdr:to>
    <xdr:sp macro="" textlink="">
      <xdr:nvSpPr>
        <xdr:cNvPr id="14" name="TextBox 13"/>
        <xdr:cNvSpPr txBox="1"/>
      </xdr:nvSpPr>
      <xdr:spPr>
        <a:xfrm>
          <a:off x="1374588" y="1509059"/>
          <a:ext cx="911412" cy="201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GENDER</a:t>
          </a:r>
        </a:p>
      </xdr:txBody>
    </xdr:sp>
    <xdr:clientData/>
  </xdr:twoCellAnchor>
  <xdr:twoCellAnchor editAs="oneCell">
    <xdr:from>
      <xdr:col>2</xdr:col>
      <xdr:colOff>44823</xdr:colOff>
      <xdr:row>9</xdr:row>
      <xdr:rowOff>59766</xdr:rowOff>
    </xdr:from>
    <xdr:to>
      <xdr:col>2</xdr:col>
      <xdr:colOff>397862</xdr:colOff>
      <xdr:row>13</xdr:row>
      <xdr:rowOff>1</xdr:rowOff>
    </xdr:to>
    <xdr:pic>
      <xdr:nvPicPr>
        <xdr:cNvPr id="25" name="Picture 24"/>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48634"/>
        <a:stretch/>
      </xdr:blipFill>
      <xdr:spPr>
        <a:xfrm>
          <a:off x="1269999" y="1740648"/>
          <a:ext cx="353039" cy="687294"/>
        </a:xfrm>
        <a:prstGeom prst="rect">
          <a:avLst/>
        </a:prstGeom>
      </xdr:spPr>
    </xdr:pic>
    <xdr:clientData/>
  </xdr:twoCellAnchor>
  <xdr:twoCellAnchor editAs="oneCell">
    <xdr:from>
      <xdr:col>3</xdr:col>
      <xdr:colOff>129987</xdr:colOff>
      <xdr:row>9</xdr:row>
      <xdr:rowOff>55281</xdr:rowOff>
    </xdr:from>
    <xdr:to>
      <xdr:col>3</xdr:col>
      <xdr:colOff>485588</xdr:colOff>
      <xdr:row>13</xdr:row>
      <xdr:rowOff>24389</xdr:rowOff>
    </xdr:to>
    <xdr:pic>
      <xdr:nvPicPr>
        <xdr:cNvPr id="33" name="Picture 32"/>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50347"/>
        <a:stretch/>
      </xdr:blipFill>
      <xdr:spPr>
        <a:xfrm>
          <a:off x="1967752" y="1736163"/>
          <a:ext cx="355601" cy="716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395845</xdr:colOff>
      <xdr:row>28</xdr:row>
      <xdr:rowOff>108034</xdr:rowOff>
    </xdr:from>
    <xdr:to>
      <xdr:col>16</xdr:col>
      <xdr:colOff>431304</xdr:colOff>
      <xdr:row>32</xdr:row>
      <xdr:rowOff>154215</xdr:rowOff>
    </xdr:to>
    <xdr:sp macro="" textlink="">
      <xdr:nvSpPr>
        <xdr:cNvPr id="2" name="TextBox 1"/>
        <xdr:cNvSpPr txBox="1"/>
      </xdr:nvSpPr>
      <xdr:spPr>
        <a:xfrm>
          <a:off x="12560631" y="5233391"/>
          <a:ext cx="2756887" cy="771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Cells</a:t>
          </a:r>
          <a:r>
            <a:rPr lang="en-IN" sz="1100" baseline="0"/>
            <a:t> highlighted in TABLE 1 indicate the people who have a tenure &lt;2years and leaves &gt;4</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832.713614004628" createdVersion="5" refreshedVersion="5" minRefreshableVersion="3" recordCount="30">
  <cacheSource type="worksheet">
    <worksheetSource name="Table1"/>
  </cacheSource>
  <cacheFields count="9">
    <cacheField name="Name" numFmtId="0">
      <sharedItems count="30">
        <s v="Karen Jones"/>
        <s v="Steven Mann"/>
        <s v="Martha Humphrey"/>
        <s v="Justin Buchanan"/>
        <s v="Julie Hall"/>
        <s v="Kristi Horne"/>
        <s v="Kimberly Cross"/>
        <s v="Samantha Serrano"/>
        <s v="Kristin Campbell"/>
        <s v="Gregory Davis"/>
        <s v="Benjamin Trevino"/>
        <s v="Carl Williams"/>
        <s v="Christopher Mason"/>
        <s v="Amanda Ferguson"/>
        <s v="Jeremy Lynch"/>
        <s v="Ryan Johnson"/>
        <s v="Roger Stark"/>
        <s v="Christopher Brown"/>
        <s v="Jacob Cisneros"/>
        <s v="Stacey Manning"/>
        <s v="Christina Moore"/>
        <s v="Alexa White"/>
        <s v="Jeff Garcia"/>
        <s v="Jimmy Mcknight"/>
        <s v="Peter Miller"/>
        <s v="Deborah Bates"/>
        <s v="Jessica Conley"/>
        <s v="Anna Travis"/>
        <s v="Donna Peters"/>
        <s v="Sandra Patel"/>
      </sharedItems>
    </cacheField>
    <cacheField name="Department" numFmtId="0">
      <sharedItems count="6">
        <s v="Marketing"/>
        <s v="HR"/>
        <s v="Finance"/>
        <s v="Engineering"/>
        <s v="Operations"/>
        <s v="Sales"/>
      </sharedItems>
    </cacheField>
    <cacheField name="Designation" numFmtId="0">
      <sharedItems/>
    </cacheField>
    <cacheField name="Joining Date" numFmtId="14">
      <sharedItems containsSemiMixedTypes="0" containsNonDate="0" containsDate="1" containsString="0" minDate="2020-07-04T00:00:00" maxDate="2025-06-02T00:00:00"/>
    </cacheField>
    <cacheField name="Leaves Taken" numFmtId="0">
      <sharedItems containsSemiMixedTypes="0" containsString="0" containsNumber="1" containsInteger="1" minValue="0" maxValue="15"/>
    </cacheField>
    <cacheField name="Exit Date" numFmtId="14">
      <sharedItems containsNonDate="0" containsDate="1" containsString="0" containsBlank="1" minDate="2021-05-02T00:00:00" maxDate="2024-11-11T00:00:00"/>
    </cacheField>
    <cacheField name="Tenure" numFmtId="0">
      <sharedItems containsSemiMixedTypes="0" containsString="0" containsNumber="1" containsInteger="1" minValue="0" maxValue="59"/>
    </cacheField>
    <cacheField name="Appraisal Score" numFmtId="0">
      <sharedItems containsSemiMixedTypes="0" containsString="0" containsNumber="1" minValue="1.1100000000000001" maxValue="4.97"/>
    </cacheField>
    <cacheField name="Netorking Days" numFmtId="0">
      <sharedItems containsSemiMixedTypes="0" containsString="0" containsNumber="1" containsInteger="1" minValue="17" maxValue="12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Acer" refreshedDate="45833.002072106479" backgroundQuery="1" createdVersion="5" refreshedVersion="5" minRefreshableVersion="3" recordCount="0" supportSubquery="1" supportAdvancedDrill="1">
  <cacheSource type="external" connectionId="1"/>
  <cacheFields count="3">
    <cacheField name="[Table1].[Department].[Department]" caption="Department" numFmtId="0" hierarchy="1" level="1">
      <sharedItems count="6">
        <s v="Engineering"/>
        <s v="Finance"/>
        <s v="HR"/>
        <s v="Marketing"/>
        <s v="Operations"/>
        <s v="Sales"/>
      </sharedItems>
    </cacheField>
    <cacheField name="[Measures].[Average of Age]" caption="Average of Age" numFmtId="0" hierarchy="15" level="32767"/>
    <cacheField name="[Table1].[Gender].[Gender]" caption="Gender" numFmtId="0" hierarchy="9" level="1">
      <sharedItems containsSemiMixedTypes="0" containsNonDate="0" containsString="0"/>
    </cacheField>
  </cacheFields>
  <cacheHierarchies count="19">
    <cacheHierarchy uniqueName="[Table1].[Name]" caption="Name" attribute="1" defaultMemberUniqueName="[Table1].[Name].[All]" allUniqueName="[Table1].[Nam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esignation]" caption="Designation" attribute="1" defaultMemberUniqueName="[Table1].[Designation].[All]" allUniqueName="[Table1].[Designation].[All]" dimensionUniqueName="[Table1]" displayFolder="" count="2" memberValueDatatype="130" unbalanced="0"/>
    <cacheHierarchy uniqueName="[Table1].[Joining Date]" caption="Joining Date" attribute="1" time="1" defaultMemberUniqueName="[Table1].[Joining Date].[All]" allUniqueName="[Table1].[Joining Date].[All]" dimensionUniqueName="[Table1]" displayFolder="" count="2" memberValueDatatype="7" unbalanced="0"/>
    <cacheHierarchy uniqueName="[Table1].[Leaves Taken]" caption="Leaves Taken" attribute="1" defaultMemberUniqueName="[Table1].[Leaves Taken].[All]" allUniqueName="[Table1].[Leaves Taken].[All]" dimensionUniqueName="[Table1]" displayFolder="" count="2" memberValueDatatype="20" unbalanced="0"/>
    <cacheHierarchy uniqueName="[Table1].[Exit Date]" caption="Exit Date" attribute="1" time="1" defaultMemberUniqueName="[Table1].[Exit Date].[All]" allUniqueName="[Table1].[Exit Date].[All]" dimensionUniqueName="[Table1]" displayFolder="" count="2" memberValueDatatype="7" unbalanced="0"/>
    <cacheHierarchy uniqueName="[Table1].[Tenure]" caption="Tenure" attribute="1" defaultMemberUniqueName="[Table1].[Tenure].[All]" allUniqueName="[Table1].[Tenure].[All]" dimensionUniqueName="[Table1]" displayFolder="" count="2" memberValueDatatype="20" unbalanced="0"/>
    <cacheHierarchy uniqueName="[Table1].[Appraisal Score]" caption="Appraisal Score" attribute="1" defaultMemberUniqueName="[Table1].[Appraisal Score].[All]" allUniqueName="[Table1].[Appraisal Score].[All]" dimensionUniqueName="[Table1]" displayFolder="" count="2" memberValueDatatype="5" unbalanced="0"/>
    <cacheHierarchy uniqueName="[Table1].[Netorking Days]" caption="Netorking Days" attribute="1" defaultMemberUniqueName="[Table1].[Netorking Days].[All]" allUniqueName="[Table1].[Netorking Days].[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Measures].[Count of Exit Date]" caption="Count of Exit Date" measure="1" displayFolder="" measureGroup="Table1" count="0">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0"/>
        </ext>
      </extLst>
    </cacheHierarchy>
    <cacheHierarchy uniqueName="[Measures].[Average of Age]" caption="Average of Age"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Sum of Appraisal Score]" caption="Sum of Appraisal Score" measure="1" displayFolder="" measureGroup="Table1" count="0">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cer" refreshedDate="45833.002074999997" backgroundQuery="1" createdVersion="5" refreshedVersion="5" minRefreshableVersion="3" recordCount="0" supportSubquery="1" supportAdvancedDrill="1">
  <cacheSource type="external" connectionId="1"/>
  <cacheFields count="3">
    <cacheField name="[Measures].[Count of Exit Date]" caption="Count of Exit Date" numFmtId="0" hierarchy="12" level="32767"/>
    <cacheField name="[Table1].[Department].[Department]" caption="Department" numFmtId="0" hierarchy="1" level="1">
      <sharedItems count="5">
        <s v="Engineering"/>
        <s v="Finance"/>
        <s v="HR"/>
        <s v="Marketing"/>
        <s v="Operations"/>
      </sharedItems>
    </cacheField>
    <cacheField name="[Table1].[Gender].[Gender]" caption="Gender" numFmtId="0" hierarchy="9" level="1">
      <sharedItems containsSemiMixedTypes="0" containsNonDate="0" containsString="0"/>
    </cacheField>
  </cacheFields>
  <cacheHierarchies count="19">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Designation]" caption="Designation" attribute="1" defaultMemberUniqueName="[Table1].[Designation].[All]" allUniqueName="[Table1].[Designation].[All]" dimensionUniqueName="[Table1]" displayFolder="" count="0" memberValueDatatype="13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Leaves Taken]" caption="Leaves Taken" attribute="1" defaultMemberUniqueName="[Table1].[Leaves Taken].[All]" allUniqueName="[Table1].[Leaves Taken].[All]" dimensionUniqueName="[Table1]" displayFolder="" count="0" memberValueDatatype="20" unbalanced="0"/>
    <cacheHierarchy uniqueName="[Table1].[Exit Date]" caption="Exit Date" attribute="1" time="1" defaultMemberUniqueName="[Table1].[Exit Date].[All]" allUniqueName="[Table1].[Exit Date].[All]" dimensionUniqueName="[Table1]" displayFolder="" count="0" memberValueDatatype="7" unbalanced="0"/>
    <cacheHierarchy uniqueName="[Table1].[Tenure]" caption="Tenure" attribute="1" defaultMemberUniqueName="[Table1].[Tenure].[All]" allUniqueName="[Table1].[Tenure].[All]" dimensionUniqueName="[Table1]" displayFolder="" count="0" memberValueDatatype="20" unbalanced="0"/>
    <cacheHierarchy uniqueName="[Table1].[Appraisal Score]" caption="Appraisal Score" attribute="1" defaultMemberUniqueName="[Table1].[Appraisal Score].[All]" allUniqueName="[Table1].[Appraisal Score].[All]" dimensionUniqueName="[Table1]" displayFolder="" count="0" memberValueDatatype="5" unbalanced="0"/>
    <cacheHierarchy uniqueName="[Table1].[Netorking Days]" caption="Netorking Days" attribute="1" defaultMemberUniqueName="[Table1].[Netorking Days].[All]" allUniqueName="[Table1].[Netorking Days].[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Count of Exit Date]" caption="Count of Exit Date" measure="1" displayFolder="" measureGroup="Table1" count="0" oneField="1">
      <fieldsUsage count="1">
        <fieldUsage x="0"/>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0"/>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0"/>
        </ext>
      </extLst>
    </cacheHierarchy>
    <cacheHierarchy uniqueName="[Measures].[Sum of Appraisal Score]" caption="Sum of Appraisal Score" measure="1" displayFolder="" measureGroup="Table1" count="0">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cer" refreshedDate="45833.002075810182" backgroundQuery="1" createdVersion="5" refreshedVersion="5" minRefreshableVersion="3" recordCount="0" supportSubquery="1" supportAdvancedDrill="1">
  <cacheSource type="external" connectionId="1"/>
  <cacheFields count="3">
    <cacheField name="[Table1].[Department].[Department]" caption="Department" numFmtId="0" hierarchy="1" level="1">
      <sharedItems count="6">
        <s v="Engineering"/>
        <s v="Finance"/>
        <s v="HR"/>
        <s v="Marketing"/>
        <s v="Operations"/>
        <s v="Sales"/>
      </sharedItems>
    </cacheField>
    <cacheField name="[Measures].[Sum of Appraisal Score]" caption="Sum of Appraisal Score" numFmtId="0" hierarchy="16" level="32767"/>
    <cacheField name="[Table1].[Gender].[Gender]" caption="Gender" numFmtId="0" hierarchy="9" level="1">
      <sharedItems containsSemiMixedTypes="0" containsNonDate="0" containsString="0"/>
    </cacheField>
  </cacheFields>
  <cacheHierarchies count="19">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esignation]" caption="Designation" attribute="1" defaultMemberUniqueName="[Table1].[Designation].[All]" allUniqueName="[Table1].[Designation].[All]" dimensionUniqueName="[Table1]" displayFolder="" count="0" memberValueDatatype="13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Leaves Taken]" caption="Leaves Taken" attribute="1" defaultMemberUniqueName="[Table1].[Leaves Taken].[All]" allUniqueName="[Table1].[Leaves Taken].[All]" dimensionUniqueName="[Table1]" displayFolder="" count="0" memberValueDatatype="20" unbalanced="0"/>
    <cacheHierarchy uniqueName="[Table1].[Exit Date]" caption="Exit Date" attribute="1" time="1" defaultMemberUniqueName="[Table1].[Exit Date].[All]" allUniqueName="[Table1].[Exit Date].[All]" dimensionUniqueName="[Table1]" displayFolder="" count="0" memberValueDatatype="7" unbalanced="0"/>
    <cacheHierarchy uniqueName="[Table1].[Tenure]" caption="Tenure" attribute="1" defaultMemberUniqueName="[Table1].[Tenure].[All]" allUniqueName="[Table1].[Tenure].[All]" dimensionUniqueName="[Table1]" displayFolder="" count="0" memberValueDatatype="20" unbalanced="0"/>
    <cacheHierarchy uniqueName="[Table1].[Appraisal Score]" caption="Appraisal Score" attribute="1" defaultMemberUniqueName="[Table1].[Appraisal Score].[All]" allUniqueName="[Table1].[Appraisal Score].[All]" dimensionUniqueName="[Table1]" displayFolder="" count="0" memberValueDatatype="5" unbalanced="0"/>
    <cacheHierarchy uniqueName="[Table1].[Netorking Days]" caption="Netorking Days" attribute="1" defaultMemberUniqueName="[Table1].[Netorking Days].[All]" allUniqueName="[Table1].[Netorking Days].[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Count of Exit Date]" caption="Count of Exit Date" measure="1" displayFolder="" measureGroup="Table1" count="0">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0"/>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0"/>
        </ext>
      </extLst>
    </cacheHierarchy>
    <cacheHierarchy uniqueName="[Measures].[Sum of Appraisal Score]" caption="Sum of Appraisal Score" measure="1" displayFolder="" measureGroup="Table1" count="0" oneField="1">
      <fieldsUsage count="1">
        <fieldUsage x="1"/>
      </fieldsUsage>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cer" refreshedDate="45833.002076620367" backgroundQuery="1" createdVersion="5" refreshedVersion="5" minRefreshableVersion="3" recordCount="0" supportSubquery="1" supportAdvancedDrill="1">
  <cacheSource type="external" connectionId="1"/>
  <cacheFields count="3">
    <cacheField name="[Table1].[Age Group].[Age Group]" caption="Age Group" numFmtId="0" hierarchy="11" level="1">
      <sharedItems count="3">
        <s v="20-29"/>
        <s v="30-39"/>
        <s v="40-49"/>
      </sharedItems>
    </cacheField>
    <cacheField name="[Measures].[Count of Exit Date]" caption="Count of Exit Date" numFmtId="0" hierarchy="12" level="32767"/>
    <cacheField name="[Table1].[Gender].[Gender]" caption="Gender" numFmtId="0" hierarchy="9" level="1">
      <sharedItems containsSemiMixedTypes="0" containsNonDate="0" containsString="0"/>
    </cacheField>
  </cacheFields>
  <cacheHierarchies count="19">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Leaves Taken]" caption="Leaves Taken" attribute="1" defaultMemberUniqueName="[Table1].[Leaves Taken].[All]" allUniqueName="[Table1].[Leaves Taken].[All]" dimensionUniqueName="[Table1]" displayFolder="" count="0" memberValueDatatype="20" unbalanced="0"/>
    <cacheHierarchy uniqueName="[Table1].[Exit Date]" caption="Exit Date" attribute="1" time="1" defaultMemberUniqueName="[Table1].[Exit Date].[All]" allUniqueName="[Table1].[Exit Date].[All]" dimensionUniqueName="[Table1]" displayFolder="" count="0" memberValueDatatype="7" unbalanced="0"/>
    <cacheHierarchy uniqueName="[Table1].[Tenure]" caption="Tenure" attribute="1" defaultMemberUniqueName="[Table1].[Tenure].[All]" allUniqueName="[Table1].[Tenure].[All]" dimensionUniqueName="[Table1]" displayFolder="" count="0" memberValueDatatype="20" unbalanced="0"/>
    <cacheHierarchy uniqueName="[Table1].[Appraisal Score]" caption="Appraisal Score" attribute="1" defaultMemberUniqueName="[Table1].[Appraisal Score].[All]" allUniqueName="[Table1].[Appraisal Score].[All]" dimensionUniqueName="[Table1]" displayFolder="" count="0" memberValueDatatype="5" unbalanced="0"/>
    <cacheHierarchy uniqueName="[Table1].[Netorking Days]" caption="Netorking Days" attribute="1" defaultMemberUniqueName="[Table1].[Netorking Days].[All]" allUniqueName="[Table1].[Netorking Days].[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Measures].[Count of Exit Date]" caption="Count of Exit Date" measure="1" displayFolder="" measureGroup="Table1" count="0" oneField="1">
      <fieldsUsage count="1">
        <fieldUsage x="1"/>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0"/>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0"/>
        </ext>
      </extLst>
    </cacheHierarchy>
    <cacheHierarchy uniqueName="[Measures].[Sum of Appraisal Score]" caption="Sum of Appraisal Score" measure="1" displayFolder="" measureGroup="Table1" count="0">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cer" refreshedDate="45832.988989120371"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Leaves Taken]" caption="Leaves Taken" attribute="1" defaultMemberUniqueName="[Table1].[Leaves Taken].[All]" allUniqueName="[Table1].[Leaves Taken].[All]" dimensionUniqueName="[Table1]" displayFolder="" count="0" memberValueDatatype="20" unbalanced="0"/>
    <cacheHierarchy uniqueName="[Table1].[Exit Date]" caption="Exit Date" attribute="1" time="1" defaultMemberUniqueName="[Table1].[Exit Date].[All]" allUniqueName="[Table1].[Exit Date].[All]" dimensionUniqueName="[Table1]" displayFolder="" count="0" memberValueDatatype="7" unbalanced="0"/>
    <cacheHierarchy uniqueName="[Table1].[Tenure]" caption="Tenure" attribute="1" defaultMemberUniqueName="[Table1].[Tenure].[All]" allUniqueName="[Table1].[Tenure].[All]" dimensionUniqueName="[Table1]" displayFolder="" count="0" memberValueDatatype="20" unbalanced="0"/>
    <cacheHierarchy uniqueName="[Table1].[Appraisal Score]" caption="Appraisal Score" attribute="1" defaultMemberUniqueName="[Table1].[Appraisal Score].[All]" allUniqueName="[Table1].[Appraisal Score].[All]" dimensionUniqueName="[Table1]" displayFolder="" count="0" memberValueDatatype="5" unbalanced="0"/>
    <cacheHierarchy uniqueName="[Table1].[Netorking Days]" caption="Netorking Days" attribute="1" defaultMemberUniqueName="[Table1].[Netorking Days].[All]" allUniqueName="[Table1].[Netorking Days].[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Count of Exit Date]" caption="Count of Exit Date" measure="1" displayFolder="" measureGroup="Table1" count="0">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extLst>
        <ext xmlns:x15="http://schemas.microsoft.com/office/spreadsheetml/2010/11/main" uri="{B97F6D7D-B522-45F9-BDA1-12C45D357490}">
          <x15:cacheHierarchy aggregatedColumn="10"/>
        </ext>
      </extLst>
    </cacheHierarchy>
    <cacheHierarchy uniqueName="[Measures].[Average of Age]" caption="Average of Age" measure="1" displayFolder="" measureGroup="Table1" count="0">
      <extLst>
        <ext xmlns:x15="http://schemas.microsoft.com/office/spreadsheetml/2010/11/main" uri="{B97F6D7D-B522-45F9-BDA1-12C45D357490}">
          <x15:cacheHierarchy aggregatedColumn="10"/>
        </ext>
      </extLst>
    </cacheHierarchy>
    <cacheHierarchy uniqueName="[Measures].[Sum of Appraisal Score]" caption="Sum of Appraisal Score" measure="1" displayFolder="" measureGroup="Table1" count="0">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30">
  <r>
    <x v="0"/>
    <x v="0"/>
    <s v="Digital Marketer"/>
    <d v="2021-04-30T00:00:00"/>
    <n v="10"/>
    <m/>
    <n v="49"/>
    <n v="1.48"/>
    <n v="1073"/>
  </r>
  <r>
    <x v="1"/>
    <x v="1"/>
    <s v="HR Executive"/>
    <d v="2023-07-03T00:00:00"/>
    <n v="4"/>
    <d v="2024-05-03T00:00:00"/>
    <n v="10"/>
    <n v="2.54"/>
    <n v="513"/>
  </r>
  <r>
    <x v="2"/>
    <x v="2"/>
    <s v="Accountant"/>
    <d v="2023-02-11T00:00:00"/>
    <n v="15"/>
    <m/>
    <n v="28"/>
    <n v="1.69"/>
    <n v="602"/>
  </r>
  <r>
    <x v="3"/>
    <x v="0"/>
    <s v="Digital Marketer"/>
    <d v="2022-12-29T00:00:00"/>
    <n v="8"/>
    <d v="2024-11-10T00:00:00"/>
    <n v="22"/>
    <n v="2.0699999999999998"/>
    <n v="641"/>
  </r>
  <r>
    <x v="4"/>
    <x v="0"/>
    <s v="Marketing Executive"/>
    <d v="2024-10-02T00:00:00"/>
    <n v="5"/>
    <m/>
    <n v="8"/>
    <n v="1.86"/>
    <n v="185"/>
  </r>
  <r>
    <x v="5"/>
    <x v="3"/>
    <s v="Tech Lead"/>
    <d v="2022-05-01T00:00:00"/>
    <n v="1"/>
    <m/>
    <n v="37"/>
    <n v="2.73"/>
    <n v="821"/>
  </r>
  <r>
    <x v="6"/>
    <x v="1"/>
    <s v="HR Manager"/>
    <d v="2022-10-26T00:00:00"/>
    <n v="8"/>
    <m/>
    <n v="31"/>
    <n v="4.87"/>
    <n v="687"/>
  </r>
  <r>
    <x v="7"/>
    <x v="4"/>
    <s v="Operations Manager"/>
    <d v="2021-12-19T00:00:00"/>
    <n v="9"/>
    <d v="2022-05-01T00:00:00"/>
    <n v="4"/>
    <n v="4.96"/>
    <n v="908"/>
  </r>
  <r>
    <x v="8"/>
    <x v="4"/>
    <s v="Operations Manager"/>
    <d v="2022-04-08T00:00:00"/>
    <n v="7"/>
    <m/>
    <n v="38"/>
    <n v="1.83"/>
    <n v="831"/>
  </r>
  <r>
    <x v="9"/>
    <x v="5"/>
    <s v="Sales Manager"/>
    <d v="2020-07-04T00:00:00"/>
    <n v="4"/>
    <m/>
    <n v="59"/>
    <n v="2.89"/>
    <n v="1293"/>
  </r>
  <r>
    <x v="10"/>
    <x v="3"/>
    <s v="Software Engineer"/>
    <d v="2024-09-01T00:00:00"/>
    <n v="4"/>
    <m/>
    <n v="9"/>
    <n v="3.71"/>
    <n v="208"/>
  </r>
  <r>
    <x v="11"/>
    <x v="0"/>
    <s v="Digital Marketer"/>
    <d v="2023-08-26T00:00:00"/>
    <n v="4"/>
    <d v="2024-10-05T00:00:00"/>
    <n v="13"/>
    <n v="2.58"/>
    <n v="473"/>
  </r>
  <r>
    <x v="12"/>
    <x v="5"/>
    <s v="Sales Executive"/>
    <d v="2025-01-29T00:00:00"/>
    <n v="5"/>
    <m/>
    <n v="4"/>
    <n v="4.4800000000000004"/>
    <n v="100"/>
  </r>
  <r>
    <x v="13"/>
    <x v="3"/>
    <s v="Senior Engineer"/>
    <d v="2020-10-27T00:00:00"/>
    <n v="5"/>
    <d v="2021-11-03T00:00:00"/>
    <n v="12"/>
    <n v="4.5"/>
    <n v="1211"/>
  </r>
  <r>
    <x v="14"/>
    <x v="0"/>
    <s v="Marketing Executive"/>
    <d v="2022-07-14T00:00:00"/>
    <n v="10"/>
    <m/>
    <n v="35"/>
    <n v="2.95"/>
    <n v="759"/>
  </r>
  <r>
    <x v="15"/>
    <x v="1"/>
    <s v="HR Manager"/>
    <d v="2025-05-10T00:00:00"/>
    <n v="4"/>
    <m/>
    <n v="1"/>
    <n v="1.1100000000000001"/>
    <n v="28"/>
  </r>
  <r>
    <x v="16"/>
    <x v="0"/>
    <s v="Marketing Executive"/>
    <d v="2020-08-24T00:00:00"/>
    <n v="1"/>
    <d v="2021-05-20T00:00:00"/>
    <n v="8"/>
    <n v="4.97"/>
    <n v="1261"/>
  </r>
  <r>
    <x v="17"/>
    <x v="3"/>
    <s v="Senior Engineer"/>
    <d v="2023-11-06T00:00:00"/>
    <n v="5"/>
    <m/>
    <n v="19"/>
    <n v="2.2999999999999998"/>
    <n v="422"/>
  </r>
  <r>
    <x v="18"/>
    <x v="2"/>
    <s v="Accountant"/>
    <d v="2022-05-20T00:00:00"/>
    <n v="9"/>
    <m/>
    <n v="37"/>
    <n v="4.24"/>
    <n v="799"/>
  </r>
  <r>
    <x v="19"/>
    <x v="4"/>
    <s v="Operations Manager"/>
    <d v="2023-09-17T00:00:00"/>
    <n v="2"/>
    <m/>
    <n v="21"/>
    <n v="1.1599999999999999"/>
    <n v="460"/>
  </r>
  <r>
    <x v="20"/>
    <x v="3"/>
    <s v="Tech Lead"/>
    <d v="2021-11-18T00:00:00"/>
    <n v="2"/>
    <d v="2022-12-04T00:00:00"/>
    <n v="12"/>
    <n v="2.29"/>
    <n v="937"/>
  </r>
  <r>
    <x v="21"/>
    <x v="4"/>
    <s v="Operations Associate"/>
    <d v="2022-04-01T00:00:00"/>
    <n v="10"/>
    <m/>
    <n v="38"/>
    <n v="4.45"/>
    <n v="833"/>
  </r>
  <r>
    <x v="22"/>
    <x v="0"/>
    <s v="Digital Marketer"/>
    <d v="2023-09-20T00:00:00"/>
    <n v="7"/>
    <m/>
    <n v="21"/>
    <n v="4.84"/>
    <n v="453"/>
  </r>
  <r>
    <x v="23"/>
    <x v="2"/>
    <s v="Finance Manager"/>
    <d v="2023-01-20T00:00:00"/>
    <n v="3"/>
    <d v="2024-01-21T00:00:00"/>
    <n v="12"/>
    <n v="1.96"/>
    <n v="630"/>
  </r>
  <r>
    <x v="24"/>
    <x v="1"/>
    <s v="HR Manager"/>
    <d v="2024-03-06T00:00:00"/>
    <n v="6"/>
    <m/>
    <n v="15"/>
    <n v="4.79"/>
    <n v="334"/>
  </r>
  <r>
    <x v="25"/>
    <x v="5"/>
    <s v="Sales Manager"/>
    <d v="2024-05-24T00:00:00"/>
    <n v="2"/>
    <m/>
    <n v="13"/>
    <n v="2.84"/>
    <n v="281"/>
  </r>
  <r>
    <x v="26"/>
    <x v="3"/>
    <s v="Software Engineer"/>
    <d v="2020-12-16T00:00:00"/>
    <n v="4"/>
    <d v="2021-05-02T00:00:00"/>
    <n v="4"/>
    <n v="4.0999999999999996"/>
    <n v="1176"/>
  </r>
  <r>
    <x v="27"/>
    <x v="1"/>
    <s v="HR Executive"/>
    <d v="2025-06-01T00:00:00"/>
    <n v="0"/>
    <m/>
    <n v="0"/>
    <n v="4.8600000000000003"/>
    <n v="17"/>
  </r>
  <r>
    <x v="28"/>
    <x v="2"/>
    <s v="Finance Manager"/>
    <d v="2022-04-15T00:00:00"/>
    <n v="10"/>
    <m/>
    <n v="38"/>
    <n v="3.3"/>
    <n v="823"/>
  </r>
  <r>
    <x v="29"/>
    <x v="3"/>
    <s v="Senior Engineer"/>
    <d v="2020-11-30T00:00:00"/>
    <n v="9"/>
    <d v="2021-12-23T00:00:00"/>
    <n v="12"/>
    <n v="3.85"/>
    <n v="11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Departments">
  <location ref="O12:P19" firstHeaderRow="1" firstDataRow="1" firstDataCol="1"/>
  <pivotFields count="9">
    <pivotField showAll="0"/>
    <pivotField axis="axisRow" showAll="0">
      <items count="7">
        <item x="3"/>
        <item x="2"/>
        <item x="1"/>
        <item x="0"/>
        <item x="4"/>
        <item x="5"/>
        <item t="default"/>
      </items>
    </pivotField>
    <pivotField showAll="0"/>
    <pivotField numFmtId="14" showAll="0"/>
    <pivotField showAll="0"/>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Appraisal Score" fld="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6" rowHeaderCaption="Departments">
  <location ref="O21:P28" firstHeaderRow="1" firstDataRow="1" firstDataCol="1"/>
  <pivotFields count="3">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dataFields count="1">
    <dataField name="Sum of Appraisal Score" fld="1" baseField="0" baseItem="0"/>
  </dataField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20"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set (Autosaved).xlsx!Table1">
        <x15:activeTabTopLevelEntity name="[Table1]"/>
      </x15:pivotTableUISettings>
    </ext>
  </extLst>
</pivotTableDefinition>
</file>

<file path=xl/pivotTables/pivotTable3.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0" rowHeaderCaption="Age Groups">
  <location ref="R12:S19" firstHeaderRow="1" firstDataRow="1" firstDataCol="1"/>
  <pivotFields count="3">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dataFields count="1">
    <dataField name="Average of Age" fld="1" subtotal="average" baseField="1"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set (Autosaved).xlsx!Table1">
        <x15:activeTabTopLevelEntity name="[Table1]"/>
      </x15:pivotTableUISettings>
    </ext>
  </extLst>
</pivotTableDefinition>
</file>

<file path=xl/pivotTables/pivotTable4.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6" rowHeaderCaption="Departments">
  <location ref="R21:S27"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Count of Exit Date" fld="0" subtotal="count" baseField="0" baseItem="0"/>
  </dataFields>
  <chartFormats count="1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 chart="8"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20"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set (Autosaved).xlsx!Table1">
        <x15:activeTabTopLevelEntity name="[Table1]"/>
      </x15:pivotTableUISettings>
    </ext>
  </extLst>
</pivotTableDefinition>
</file>

<file path=xl/pivotTables/pivotTable5.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5" rowHeaderCaption="Age Groups">
  <location ref="R29:S33"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Exit Date" fld="1" subtotal="count"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set (Autosaved).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Table1].[Gender]">
  <pivotTables>
    <pivotTable tabId="1" name="PivotTable13"/>
    <pivotTable tabId="1" name="PivotTable10"/>
    <pivotTable tabId="1" name="PivotTable14"/>
    <pivotTable tabId="1" name="PivotTable9"/>
  </pivotTables>
  <data>
    <olap pivotCacheId="5">
      <levels count="2">
        <level uniqueName="[Table1].[Gender].[(All)]" sourceCaption="(All)" count="0"/>
        <level uniqueName="[Table1].[Gender].[Gender]" sourceCaption="Gender" count="3">
          <ranges>
            <range startItem="0">
              <i n="[Table1].[Gender].&amp;" c="(blank)"/>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level="1" style="SlicerStyleLight6" rowHeight="241300"/>
</slicers>
</file>

<file path=xl/tables/table1.xml><?xml version="1.0" encoding="utf-8"?>
<table xmlns="http://schemas.openxmlformats.org/spreadsheetml/2006/main" id="1" name="Table1" displayName="Table1" ref="A3:L33" totalsRowShown="0">
  <autoFilter ref="A3:L33"/>
  <tableColumns count="12">
    <tableColumn id="1" name="Name"/>
    <tableColumn id="2" name="Department"/>
    <tableColumn id="3" name="Designation"/>
    <tableColumn id="4" name="Joining Date" dataDxfId="16"/>
    <tableColumn id="5" name="Leaves Taken" dataDxfId="15"/>
    <tableColumn id="9" name="Exit Date"/>
    <tableColumn id="6" name="Tenure" dataDxfId="14">
      <calculatedColumnFormula>DATEDIF(Table1[[#This Row],[Joining Date]], IF(Table1[[#This Row],[Exit Date]]="", TODAY(), Table1[[#This Row],[Exit Date]]), "M")</calculatedColumnFormula>
    </tableColumn>
    <tableColumn id="7" name="Appraisal Score"/>
    <tableColumn id="8" name="Netorking Days" dataDxfId="13">
      <calculatedColumnFormula>NETWORKDAYS(Table1[[#This Row],[Joining Date]],TODAY())-Table1[[#This Row],[Leaves Taken]]</calculatedColumnFormula>
    </tableColumn>
    <tableColumn id="12" name="Gender"/>
    <tableColumn id="11" name="Age" dataDxfId="12"/>
    <tableColumn id="10" name="Age Group" dataDxfId="11">
      <calculatedColumnFormula>IF(Table1[[#This Row],[Age]]&lt;30, "20-29", IF(Table1[[#This Row],[Age]]&lt;40, "30-39", IF(Table1[[#This Row],[Age]]&lt;50, "40-49", "50+")))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id="4" name="Table4" displayName="Table4" ref="S6:U9" totalsRowShown="0">
  <autoFilter ref="S6:U9"/>
  <tableColumns count="3">
    <tableColumn id="1" name="AGE GROUP"/>
    <tableColumn id="2" name="Attrition"/>
    <tableColumn id="3" name="Attrition Rate" dataDxfId="10" dataCellStyle="Percent"/>
  </tableColumns>
  <tableStyleInfo name="TableStyleMedium2" showFirstColumn="0" showLastColumn="0" showRowStripes="1" showColumnStripes="0"/>
</table>
</file>

<file path=xl/tables/table3.xml><?xml version="1.0" encoding="utf-8"?>
<table xmlns="http://schemas.openxmlformats.org/spreadsheetml/2006/main" id="5" name="Table5" displayName="Table5" ref="O3:R9" totalsRowShown="0">
  <autoFilter ref="O3:R9"/>
  <tableColumns count="4">
    <tableColumn id="1" name="Department "/>
    <tableColumn id="2" name="Averge Appraisal Score">
      <calculatedColumnFormula>AVERAGEIFS(Table1[Appraisal Score],Table1[Department],O4)</calculatedColumnFormula>
    </tableColumn>
    <tableColumn id="3" name="Low Performers">
      <calculatedColumnFormula>COUNTIFS(Table1[Department],O4,Table1[Appraisal Score],"&lt;2.5")</calculatedColumnFormula>
    </tableColumn>
    <tableColumn id="4" name="Attrition rate">
      <calculatedColumnFormula>COUNTIFS(Table1[Department],O4,Table1[Exit Date],"&lt;&gt;")/COUNTIF(Table1[Department],O4)*100</calculatedColumnFormula>
    </tableColumn>
  </tableColumns>
  <tableStyleInfo name="TableStyleMedium5" showFirstColumn="0" showLastColumn="0" showRowStripes="1" showColumnStripes="0"/>
</table>
</file>

<file path=xl/tables/table4.xml><?xml version="1.0" encoding="utf-8"?>
<table xmlns="http://schemas.openxmlformats.org/spreadsheetml/2006/main" id="7" name="Table7" displayName="Table7" ref="S3:U4" totalsRowShown="0" headerRowDxfId="9" tableBorderDxfId="8">
  <autoFilter ref="S3:U4"/>
  <tableColumns count="3">
    <tableColumn id="1" name="Total employees" dataDxfId="7">
      <calculatedColumnFormula>COUNTA(Table1[Name])</calculatedColumnFormula>
    </tableColumn>
    <tableColumn id="2" name="Females" dataDxfId="6" dataCellStyle="Percent">
      <calculatedColumnFormula>COUNTIF(Table1[Gender],"Female")/S4</calculatedColumnFormula>
    </tableColumn>
    <tableColumn id="3" name="Males" dataDxfId="5" dataCellStyle="Percent">
      <calculatedColumnFormula>COUNTIF(Table1[Gender], "Male")/S4</calculatedColumnFormula>
    </tableColumn>
  </tableColumns>
  <tableStyleInfo name="TableStyleMedium4" showFirstColumn="0" showLastColumn="0" showRowStripes="1" showColumnStripes="0"/>
</table>
</file>

<file path=xl/tables/table5.xml><?xml version="1.0" encoding="utf-8"?>
<table xmlns="http://schemas.openxmlformats.org/spreadsheetml/2006/main" id="8" name="Table8" displayName="Table8" ref="O35:S36" totalsRowShown="0" tableBorderDxfId="4">
  <autoFilter ref="O35:S36"/>
  <tableColumns count="5">
    <tableColumn id="1" name="Total Employees" dataDxfId="3">
      <calculatedColumnFormula>COUNTA(Table1[Name])</calculatedColumnFormula>
    </tableColumn>
    <tableColumn id="2" name="Attrition" dataDxfId="2">
      <calculatedColumnFormula>COUNTA(Table1[Exit Date])</calculatedColumnFormula>
    </tableColumn>
    <tableColumn id="3" name="Attrition rate" dataDxfId="1">
      <calculatedColumnFormula>P36/COUNTA(Table1[Name]) * 100</calculatedColumnFormula>
    </tableColumn>
    <tableColumn id="4" name="Average Tenure of employees that left" dataDxfId="0">
      <calculatedColumnFormula>AVERAGEIFS(Table1[Tenure],Table1[Exit Date], "&lt;&gt;" &amp; "")</calculatedColumnFormula>
    </tableColumn>
    <tableColumn id="5" name="Active Employees">
      <calculatedColumnFormula>O36-P36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2.xml"/><Relationship Id="rId12"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5" zoomScaleNormal="85" workbookViewId="0">
      <selection activeCell="M19" sqref="M1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9"/>
  <sheetViews>
    <sheetView tabSelected="1" topLeftCell="F1" zoomScale="70" zoomScaleNormal="70" workbookViewId="0">
      <selection activeCell="S11" sqref="S11"/>
    </sheetView>
  </sheetViews>
  <sheetFormatPr defaultRowHeight="14.5" x14ac:dyDescent="0.35"/>
  <cols>
    <col min="1" max="1" width="17" bestFit="1" customWidth="1"/>
    <col min="2" max="2" width="13.08984375" customWidth="1"/>
    <col min="3" max="3" width="18.54296875" bestFit="1" customWidth="1"/>
    <col min="4" max="4" width="13" customWidth="1"/>
    <col min="5" max="6" width="13.90625" customWidth="1"/>
    <col min="7" max="7" width="11.81640625" customWidth="1"/>
    <col min="8" max="8" width="17.81640625" customWidth="1"/>
    <col min="9" max="9" width="17.90625" customWidth="1"/>
    <col min="10" max="10" width="11.08984375" customWidth="1"/>
    <col min="15" max="15" width="14.54296875" customWidth="1"/>
    <col min="16" max="16" width="20.6328125" customWidth="1"/>
    <col min="17" max="17" width="16" customWidth="1"/>
    <col min="18" max="18" width="14" customWidth="1"/>
    <col min="19" max="19" width="16.1796875" customWidth="1"/>
    <col min="20" max="20" width="14.54296875" customWidth="1"/>
    <col min="21" max="21" width="20.6328125" bestFit="1" customWidth="1"/>
  </cols>
  <sheetData>
    <row r="1" spans="1:21" ht="14.5" customHeight="1" x14ac:dyDescent="0.35">
      <c r="A1" s="17" t="s">
        <v>86</v>
      </c>
      <c r="B1" s="17"/>
      <c r="C1" s="17"/>
      <c r="D1" s="17"/>
      <c r="E1" s="17"/>
      <c r="F1" s="17"/>
      <c r="G1" s="17"/>
      <c r="H1" s="17"/>
      <c r="I1" s="17"/>
      <c r="J1" s="17"/>
      <c r="K1" s="17"/>
      <c r="L1" s="17"/>
      <c r="M1" s="17"/>
      <c r="N1" s="17"/>
      <c r="O1" s="17"/>
      <c r="P1" s="17"/>
      <c r="Q1" s="17"/>
      <c r="R1" s="17"/>
      <c r="S1" s="17"/>
      <c r="T1" s="17"/>
      <c r="U1" s="17"/>
    </row>
    <row r="2" spans="1:21" ht="14.5" customHeight="1" x14ac:dyDescent="0.35">
      <c r="A2" s="17"/>
      <c r="B2" s="17"/>
      <c r="C2" s="17"/>
      <c r="D2" s="17"/>
      <c r="E2" s="17"/>
      <c r="F2" s="17"/>
      <c r="G2" s="17"/>
      <c r="H2" s="17"/>
      <c r="I2" s="17"/>
      <c r="J2" s="17"/>
      <c r="K2" s="17"/>
      <c r="L2" s="17"/>
      <c r="M2" s="17"/>
      <c r="N2" s="17"/>
      <c r="O2" s="17"/>
      <c r="P2" s="17"/>
      <c r="Q2" s="17"/>
      <c r="R2" s="17"/>
      <c r="S2" s="17"/>
      <c r="T2" s="17"/>
      <c r="U2" s="17"/>
    </row>
    <row r="3" spans="1:21" x14ac:dyDescent="0.35">
      <c r="A3" t="s">
        <v>0</v>
      </c>
      <c r="B3" t="s">
        <v>1</v>
      </c>
      <c r="C3" t="s">
        <v>2</v>
      </c>
      <c r="D3" t="s">
        <v>3</v>
      </c>
      <c r="E3" t="s">
        <v>4</v>
      </c>
      <c r="F3" t="s">
        <v>60</v>
      </c>
      <c r="G3" t="s">
        <v>55</v>
      </c>
      <c r="H3" t="s">
        <v>5</v>
      </c>
      <c r="I3" t="s">
        <v>58</v>
      </c>
      <c r="J3" t="s">
        <v>69</v>
      </c>
      <c r="K3" t="s">
        <v>63</v>
      </c>
      <c r="L3" t="s">
        <v>73</v>
      </c>
      <c r="O3" t="s">
        <v>56</v>
      </c>
      <c r="P3" t="s">
        <v>57</v>
      </c>
      <c r="Q3" t="s">
        <v>59</v>
      </c>
      <c r="R3" t="s">
        <v>64</v>
      </c>
      <c r="S3" s="11" t="s">
        <v>76</v>
      </c>
      <c r="T3" s="11" t="s">
        <v>77</v>
      </c>
      <c r="U3" s="11" t="s">
        <v>78</v>
      </c>
    </row>
    <row r="4" spans="1:21" x14ac:dyDescent="0.35">
      <c r="A4" t="s">
        <v>6</v>
      </c>
      <c r="B4" t="s">
        <v>7</v>
      </c>
      <c r="C4" t="s">
        <v>8</v>
      </c>
      <c r="D4" s="1">
        <v>44316</v>
      </c>
      <c r="E4">
        <v>10</v>
      </c>
      <c r="F4" s="2"/>
      <c r="G4">
        <f ca="1">DATEDIF(Table1[[#This Row],[Joining Date]], IF(Table1[[#This Row],[Exit Date]]="", TODAY(), Table1[[#This Row],[Exit Date]]), "M")</f>
        <v>49</v>
      </c>
      <c r="H4">
        <v>1.48</v>
      </c>
      <c r="I4">
        <f ca="1">NETWORKDAYS(Table1[[#This Row],[Joining Date]],TODAY())-Table1[[#This Row],[Leaves Taken]]</f>
        <v>1074</v>
      </c>
      <c r="J4" t="s">
        <v>70</v>
      </c>
      <c r="K4" s="3">
        <v>41</v>
      </c>
      <c r="L4" s="3" t="str">
        <f>IF(Table1[[#This Row],[Age]]&lt;30, "20-29", IF(Table1[[#This Row],[Age]]&lt;40, "30-39", IF(Table1[[#This Row],[Age]]&lt;50, "40-49", "50+")))</f>
        <v>40-49</v>
      </c>
      <c r="M4" s="3"/>
      <c r="N4" s="3"/>
      <c r="O4" t="s">
        <v>19</v>
      </c>
      <c r="P4">
        <f>AVERAGEIFS(Table1[Appraisal Score],Table1[Department],O4)</f>
        <v>3.3542857142857136</v>
      </c>
      <c r="Q4">
        <f>COUNTIFS(Table1[Department],O4,Table1[Appraisal Score],"&lt;2.5")</f>
        <v>2</v>
      </c>
      <c r="R4">
        <f>COUNTIFS(Table1[Department],O4,Table1[Exit Date],"&lt;&gt;")/COUNTIF(Table1[Department],"Engineering")*100</f>
        <v>57.142857142857139</v>
      </c>
      <c r="S4" s="12">
        <f>COUNTA(Table1[Name])</f>
        <v>30</v>
      </c>
      <c r="T4" s="15">
        <f>COUNTIF(Table1[Gender],"Female")/S4</f>
        <v>0.56666666666666665</v>
      </c>
      <c r="U4" s="15">
        <f>COUNTIF(Table1[Gender], "Male")/S4</f>
        <v>0.43333333333333335</v>
      </c>
    </row>
    <row r="5" spans="1:21" x14ac:dyDescent="0.35">
      <c r="A5" t="s">
        <v>9</v>
      </c>
      <c r="B5" t="s">
        <v>10</v>
      </c>
      <c r="C5" t="s">
        <v>11</v>
      </c>
      <c r="D5" s="1">
        <v>45110</v>
      </c>
      <c r="E5">
        <v>4</v>
      </c>
      <c r="F5" s="2">
        <v>45415</v>
      </c>
      <c r="G5">
        <f ca="1">DATEDIF(Table1[[#This Row],[Joining Date]], IF(Table1[[#This Row],[Exit Date]]="", TODAY(), Table1[[#This Row],[Exit Date]]), "M")</f>
        <v>10</v>
      </c>
      <c r="H5">
        <v>2.54</v>
      </c>
      <c r="I5">
        <f ca="1">NETWORKDAYS(Table1[[#This Row],[Joining Date]],TODAY())-Table1[[#This Row],[Leaves Taken]]</f>
        <v>514</v>
      </c>
      <c r="J5" t="s">
        <v>71</v>
      </c>
      <c r="K5" s="3">
        <v>26</v>
      </c>
      <c r="L5" s="3" t="str">
        <f>IF(Table1[[#This Row],[Age]]&lt;30, "20-29", IF(Table1[[#This Row],[Age]]&lt;40, "30-39", IF(Table1[[#This Row],[Age]]&lt;50, "40-49", "50+")))</f>
        <v>20-29</v>
      </c>
      <c r="M5" s="3"/>
      <c r="N5" s="3"/>
      <c r="O5" t="s">
        <v>10</v>
      </c>
      <c r="P5">
        <f>AVERAGEIFS(Table1[Appraisal Score],Table1[Department],O5)</f>
        <v>3.6339999999999995</v>
      </c>
      <c r="Q5">
        <f>COUNTIFS(Table1[Department],O5,Table1[Appraisal Score],"&lt;2.5")</f>
        <v>1</v>
      </c>
      <c r="R5">
        <f>COUNTIFS(Table1[Department],O5,Table1[Exit Date],"&lt;&gt;")/COUNTIF(Table1[Department],O5)*100</f>
        <v>20</v>
      </c>
    </row>
    <row r="6" spans="1:21" x14ac:dyDescent="0.35">
      <c r="A6" t="s">
        <v>12</v>
      </c>
      <c r="B6" t="s">
        <v>13</v>
      </c>
      <c r="C6" t="s">
        <v>14</v>
      </c>
      <c r="D6" s="1">
        <v>44968</v>
      </c>
      <c r="E6">
        <v>15</v>
      </c>
      <c r="F6" s="2"/>
      <c r="G6">
        <f ca="1">DATEDIF(Table1[[#This Row],[Joining Date]], IF(Table1[[#This Row],[Exit Date]]="", TODAY(), Table1[[#This Row],[Exit Date]]), "M")</f>
        <v>28</v>
      </c>
      <c r="H6">
        <v>1.69</v>
      </c>
      <c r="I6">
        <f ca="1">NETWORKDAYS(Table1[[#This Row],[Joining Date]],TODAY())-Table1[[#This Row],[Leaves Taken]]</f>
        <v>603</v>
      </c>
      <c r="J6" t="s">
        <v>70</v>
      </c>
      <c r="K6" s="3">
        <v>43</v>
      </c>
      <c r="L6" s="3" t="str">
        <f>IF(Table1[[#This Row],[Age]]&lt;30, "20-29", IF(Table1[[#This Row],[Age]]&lt;40, "30-39", IF(Table1[[#This Row],[Age]]&lt;50, "40-49", "50+")))</f>
        <v>40-49</v>
      </c>
      <c r="M6" s="3"/>
      <c r="N6" s="3"/>
      <c r="O6" t="s">
        <v>24</v>
      </c>
      <c r="P6">
        <f>AVERAGEIFS(Table1[Appraisal Score],Table1[Department],O6)</f>
        <v>3.1</v>
      </c>
      <c r="Q6">
        <f>COUNTIFS(Table1[Department],O6,Table1[Appraisal Score],"&lt;2.5")</f>
        <v>2</v>
      </c>
      <c r="R6">
        <f>COUNTIFS(Table1[Department],O6,Table1[Exit Date],"&lt;&gt;")/COUNTIF(Table1[Department],O6)*100</f>
        <v>25</v>
      </c>
      <c r="S6" t="s">
        <v>65</v>
      </c>
      <c r="T6" t="s">
        <v>79</v>
      </c>
      <c r="U6" t="s">
        <v>80</v>
      </c>
    </row>
    <row r="7" spans="1:21" x14ac:dyDescent="0.35">
      <c r="A7" t="s">
        <v>15</v>
      </c>
      <c r="B7" t="s">
        <v>7</v>
      </c>
      <c r="C7" t="s">
        <v>8</v>
      </c>
      <c r="D7" s="1">
        <v>44924</v>
      </c>
      <c r="E7">
        <v>8</v>
      </c>
      <c r="F7" s="2">
        <v>45606</v>
      </c>
      <c r="G7">
        <f ca="1">DATEDIF(Table1[[#This Row],[Joining Date]], IF(Table1[[#This Row],[Exit Date]]="", TODAY(), Table1[[#This Row],[Exit Date]]), "M")</f>
        <v>22</v>
      </c>
      <c r="H7">
        <v>2.0699999999999998</v>
      </c>
      <c r="I7">
        <f ca="1">NETWORKDAYS(Table1[[#This Row],[Joining Date]],TODAY())-Table1[[#This Row],[Leaves Taken]]</f>
        <v>642</v>
      </c>
      <c r="J7" t="s">
        <v>71</v>
      </c>
      <c r="K7" s="3">
        <v>34</v>
      </c>
      <c r="L7" s="3" t="str">
        <f>IF(Table1[[#This Row],[Age]]&lt;30, "20-29", IF(Table1[[#This Row],[Age]]&lt;40, "30-39", IF(Table1[[#This Row],[Age]]&lt;50, "40-49", "50+")))</f>
        <v>30-39</v>
      </c>
      <c r="M7" s="3"/>
      <c r="N7" s="3"/>
      <c r="O7" t="s">
        <v>7</v>
      </c>
      <c r="P7">
        <f>AVERAGEIFS(Table1[Appraisal Score],Table1[Department],O7)</f>
        <v>2.9642857142857144</v>
      </c>
      <c r="Q7">
        <f>COUNTIFS(Table1[Department],O7,Table1[Appraisal Score],"&lt;2.5")</f>
        <v>3</v>
      </c>
      <c r="R7">
        <f>COUNTIFS(Table1[Department],O7,Table1[Exit Date],"&lt;&gt;")/COUNTIF(Table1[Department],O7)*100</f>
        <v>42.857142857142854</v>
      </c>
      <c r="S7" t="s">
        <v>66</v>
      </c>
      <c r="T7">
        <f>COUNTIFS(Table1[Age Group], "20-29",Table1[Exit Date], "&lt;&gt;" )</f>
        <v>3</v>
      </c>
      <c r="U7" s="7">
        <f>T7/COUNTIF(Table1[Age Group],"20-29")</f>
        <v>0.33333333333333331</v>
      </c>
    </row>
    <row r="8" spans="1:21" x14ac:dyDescent="0.35">
      <c r="A8" t="s">
        <v>16</v>
      </c>
      <c r="B8" t="s">
        <v>7</v>
      </c>
      <c r="C8" t="s">
        <v>17</v>
      </c>
      <c r="D8" s="1">
        <v>45567</v>
      </c>
      <c r="E8">
        <v>5</v>
      </c>
      <c r="F8" s="2"/>
      <c r="G8">
        <f ca="1">DATEDIF(Table1[[#This Row],[Joining Date]], IF(Table1[[#This Row],[Exit Date]]="", TODAY(), Table1[[#This Row],[Exit Date]]), "M")</f>
        <v>8</v>
      </c>
      <c r="H8">
        <v>1.86</v>
      </c>
      <c r="I8">
        <f ca="1">NETWORKDAYS(Table1[[#This Row],[Joining Date]],TODAY())-Table1[[#This Row],[Leaves Taken]]</f>
        <v>186</v>
      </c>
      <c r="J8" t="s">
        <v>70</v>
      </c>
      <c r="K8" s="3">
        <v>25</v>
      </c>
      <c r="L8" s="3" t="str">
        <f>IF(Table1[[#This Row],[Age]]&lt;30, "20-29", IF(Table1[[#This Row],[Age]]&lt;40, "30-39", IF(Table1[[#This Row],[Age]]&lt;50, "40-49", "50+")))</f>
        <v>20-29</v>
      </c>
      <c r="M8" s="3"/>
      <c r="N8" s="3"/>
      <c r="O8" t="s">
        <v>13</v>
      </c>
      <c r="P8">
        <f>AVERAGEIFS(Table1[Appraisal Score],Table1[Department],O8)</f>
        <v>2.7974999999999999</v>
      </c>
      <c r="Q8">
        <f>COUNTIFS(Table1[Department],O8,Table1[Appraisal Score],"&lt;2.5")</f>
        <v>2</v>
      </c>
      <c r="R8">
        <f>COUNTIFS(Table1[Department],O8,Table1[Exit Date],"&lt;&gt;")/COUNTIF(Table1[Department],O8)*100</f>
        <v>25</v>
      </c>
      <c r="S8" t="s">
        <v>67</v>
      </c>
      <c r="T8">
        <f>COUNTIFS(Table1[Age Group], "30-39",Table1[Exit Date], "&lt;&gt;" )</f>
        <v>6</v>
      </c>
      <c r="U8" s="7">
        <f>T8/COUNTIF(Table1[Age Group],"30-39")</f>
        <v>0.35294117647058826</v>
      </c>
    </row>
    <row r="9" spans="1:21" x14ac:dyDescent="0.35">
      <c r="A9" t="s">
        <v>18</v>
      </c>
      <c r="B9" t="s">
        <v>19</v>
      </c>
      <c r="C9" t="s">
        <v>20</v>
      </c>
      <c r="D9" s="1">
        <v>44682</v>
      </c>
      <c r="E9">
        <v>1</v>
      </c>
      <c r="F9" s="2"/>
      <c r="G9">
        <f ca="1">DATEDIF(Table1[[#This Row],[Joining Date]], IF(Table1[[#This Row],[Exit Date]]="", TODAY(), Table1[[#This Row],[Exit Date]]), "M")</f>
        <v>37</v>
      </c>
      <c r="H9">
        <v>2.73</v>
      </c>
      <c r="I9">
        <f ca="1">NETWORKDAYS(Table1[[#This Row],[Joining Date]],TODAY())-Table1[[#This Row],[Leaves Taken]]</f>
        <v>822</v>
      </c>
      <c r="J9" t="s">
        <v>70</v>
      </c>
      <c r="K9" s="3">
        <v>35</v>
      </c>
      <c r="L9" s="3" t="str">
        <f>IF(Table1[[#This Row],[Age]]&lt;30, "20-29", IF(Table1[[#This Row],[Age]]&lt;40, "30-39", IF(Table1[[#This Row],[Age]]&lt;50, "40-49", "50+")))</f>
        <v>30-39</v>
      </c>
      <c r="M9" s="3"/>
      <c r="N9" s="3"/>
      <c r="O9" t="s">
        <v>28</v>
      </c>
      <c r="P9">
        <f>AVERAGEIFS(Table1[Appraisal Score],Table1[Department],O9)</f>
        <v>3.4033333333333338</v>
      </c>
      <c r="Q9">
        <f>COUNTIFS(Table1[Department],O9,Table1[Appraisal Score],"&lt;2.5")</f>
        <v>0</v>
      </c>
      <c r="R9">
        <f>COUNTIFS(Table1[Department],O9,Table1[Exit Date],"&lt;&gt;")/COUNTIF(Table1[Department],O9)*100</f>
        <v>0</v>
      </c>
      <c r="S9" t="s">
        <v>68</v>
      </c>
      <c r="T9">
        <f>COUNTIFS(Table1[Age Group], "40-49",Table1[Exit Date], "&lt;&gt;" )</f>
        <v>1</v>
      </c>
      <c r="U9" s="7">
        <f>T9/COUNTIF(Table1[Age Group],"40-49")</f>
        <v>0.25</v>
      </c>
    </row>
    <row r="10" spans="1:21" x14ac:dyDescent="0.35">
      <c r="A10" t="s">
        <v>21</v>
      </c>
      <c r="B10" t="s">
        <v>10</v>
      </c>
      <c r="C10" t="s">
        <v>22</v>
      </c>
      <c r="D10" s="1">
        <v>44860</v>
      </c>
      <c r="E10">
        <v>8</v>
      </c>
      <c r="F10" s="2"/>
      <c r="G10">
        <f ca="1">DATEDIF(Table1[[#This Row],[Joining Date]], IF(Table1[[#This Row],[Exit Date]]="", TODAY(), Table1[[#This Row],[Exit Date]]), "M")</f>
        <v>31</v>
      </c>
      <c r="H10">
        <v>4.87</v>
      </c>
      <c r="I10">
        <f ca="1">NETWORKDAYS(Table1[[#This Row],[Joining Date]],TODAY())-Table1[[#This Row],[Leaves Taken]]</f>
        <v>688</v>
      </c>
      <c r="J10" t="s">
        <v>70</v>
      </c>
      <c r="K10" s="3">
        <v>30</v>
      </c>
      <c r="L10" s="3" t="str">
        <f>IF(Table1[[#This Row],[Age]]&lt;30, "20-29", IF(Table1[[#This Row],[Age]]&lt;40, "30-39", IF(Table1[[#This Row],[Age]]&lt;50, "40-49", "50+")))</f>
        <v>30-39</v>
      </c>
      <c r="M10" s="3"/>
      <c r="N10" s="3"/>
    </row>
    <row r="11" spans="1:21" x14ac:dyDescent="0.35">
      <c r="A11" t="s">
        <v>23</v>
      </c>
      <c r="B11" t="s">
        <v>24</v>
      </c>
      <c r="C11" t="s">
        <v>25</v>
      </c>
      <c r="D11" s="1">
        <v>44549</v>
      </c>
      <c r="E11">
        <v>9</v>
      </c>
      <c r="F11" s="2">
        <v>44682</v>
      </c>
      <c r="G11">
        <f ca="1">DATEDIF(Table1[[#This Row],[Joining Date]], IF(Table1[[#This Row],[Exit Date]]="", TODAY(), Table1[[#This Row],[Exit Date]]), "M")</f>
        <v>4</v>
      </c>
      <c r="H11">
        <v>4.96</v>
      </c>
      <c r="I11">
        <f ca="1">NETWORKDAYS(Table1[[#This Row],[Joining Date]],TODAY())-Table1[[#This Row],[Leaves Taken]]</f>
        <v>909</v>
      </c>
      <c r="J11" t="s">
        <v>70</v>
      </c>
      <c r="K11" s="3">
        <v>28</v>
      </c>
      <c r="L11" s="3" t="str">
        <f>IF(Table1[[#This Row],[Age]]&lt;30, "20-29", IF(Table1[[#This Row],[Age]]&lt;40, "30-39", IF(Table1[[#This Row],[Age]]&lt;50, "40-49", "50+")))</f>
        <v>20-29</v>
      </c>
      <c r="M11" s="3"/>
      <c r="N11" s="3"/>
    </row>
    <row r="12" spans="1:21" x14ac:dyDescent="0.35">
      <c r="A12" t="s">
        <v>26</v>
      </c>
      <c r="B12" t="s">
        <v>24</v>
      </c>
      <c r="C12" t="s">
        <v>25</v>
      </c>
      <c r="D12" s="1">
        <v>44659</v>
      </c>
      <c r="E12">
        <v>7</v>
      </c>
      <c r="F12" s="2"/>
      <c r="G12">
        <f ca="1">DATEDIF(Table1[[#This Row],[Joining Date]], IF(Table1[[#This Row],[Exit Date]]="", TODAY(), Table1[[#This Row],[Exit Date]]), "M")</f>
        <v>38</v>
      </c>
      <c r="H12">
        <v>1.83</v>
      </c>
      <c r="I12">
        <f ca="1">NETWORKDAYS(Table1[[#This Row],[Joining Date]],TODAY())-Table1[[#This Row],[Leaves Taken]]</f>
        <v>832</v>
      </c>
      <c r="J12" t="s">
        <v>70</v>
      </c>
      <c r="K12" s="3">
        <v>32</v>
      </c>
      <c r="L12" s="3" t="str">
        <f>IF(Table1[[#This Row],[Age]]&lt;30, "20-29", IF(Table1[[#This Row],[Age]]&lt;40, "30-39", IF(Table1[[#This Row],[Age]]&lt;50, "40-49", "50+")))</f>
        <v>30-39</v>
      </c>
      <c r="M12" s="3"/>
      <c r="N12" s="3"/>
      <c r="O12" s="4" t="s">
        <v>85</v>
      </c>
      <c r="P12" t="s">
        <v>62</v>
      </c>
      <c r="R12" s="4" t="s">
        <v>84</v>
      </c>
      <c r="S12" t="s">
        <v>87</v>
      </c>
    </row>
    <row r="13" spans="1:21" x14ac:dyDescent="0.35">
      <c r="A13" t="s">
        <v>27</v>
      </c>
      <c r="B13" t="s">
        <v>28</v>
      </c>
      <c r="C13" t="s">
        <v>29</v>
      </c>
      <c r="D13" s="1">
        <v>44016</v>
      </c>
      <c r="E13">
        <v>4</v>
      </c>
      <c r="F13" s="2"/>
      <c r="G13">
        <f ca="1">DATEDIF(Table1[[#This Row],[Joining Date]], IF(Table1[[#This Row],[Exit Date]]="", TODAY(), Table1[[#This Row],[Exit Date]]), "M")</f>
        <v>59</v>
      </c>
      <c r="H13">
        <v>2.89</v>
      </c>
      <c r="I13">
        <f ca="1">NETWORKDAYS(Table1[[#This Row],[Joining Date]],TODAY())-Table1[[#This Row],[Leaves Taken]]</f>
        <v>1294</v>
      </c>
      <c r="J13" t="s">
        <v>71</v>
      </c>
      <c r="K13" s="3">
        <v>32</v>
      </c>
      <c r="L13" s="3" t="str">
        <f>IF(Table1[[#This Row],[Age]]&lt;30, "20-29", IF(Table1[[#This Row],[Age]]&lt;40, "30-39", IF(Table1[[#This Row],[Age]]&lt;50, "40-49", "50+")))</f>
        <v>30-39</v>
      </c>
      <c r="M13" s="3"/>
      <c r="N13" s="3"/>
      <c r="O13" s="5" t="s">
        <v>19</v>
      </c>
      <c r="P13" s="3">
        <v>23.479999999999997</v>
      </c>
      <c r="R13" s="5" t="s">
        <v>19</v>
      </c>
      <c r="S13" s="3">
        <v>32.285714285714285</v>
      </c>
    </row>
    <row r="14" spans="1:21" x14ac:dyDescent="0.35">
      <c r="A14" t="s">
        <v>30</v>
      </c>
      <c r="B14" t="s">
        <v>19</v>
      </c>
      <c r="C14" t="s">
        <v>31</v>
      </c>
      <c r="D14" s="1">
        <v>45536</v>
      </c>
      <c r="E14">
        <v>4</v>
      </c>
      <c r="F14" s="2"/>
      <c r="G14">
        <f ca="1">DATEDIF(Table1[[#This Row],[Joining Date]], IF(Table1[[#This Row],[Exit Date]]="", TODAY(), Table1[[#This Row],[Exit Date]]), "M")</f>
        <v>9</v>
      </c>
      <c r="H14">
        <v>3.71</v>
      </c>
      <c r="I14">
        <f ca="1">NETWORKDAYS(Table1[[#This Row],[Joining Date]],TODAY())-Table1[[#This Row],[Leaves Taken]]</f>
        <v>209</v>
      </c>
      <c r="J14" t="s">
        <v>71</v>
      </c>
      <c r="K14" s="3">
        <v>25</v>
      </c>
      <c r="L14" s="3" t="str">
        <f>IF(Table1[[#This Row],[Age]]&lt;30, "20-29", IF(Table1[[#This Row],[Age]]&lt;40, "30-39", IF(Table1[[#This Row],[Age]]&lt;50, "40-49", "50+")))</f>
        <v>20-29</v>
      </c>
      <c r="M14" s="3"/>
      <c r="N14" s="3"/>
      <c r="O14" s="5" t="s">
        <v>13</v>
      </c>
      <c r="P14" s="3">
        <v>11.19</v>
      </c>
      <c r="R14" s="5" t="s">
        <v>13</v>
      </c>
      <c r="S14" s="3">
        <v>35.5</v>
      </c>
    </row>
    <row r="15" spans="1:21" x14ac:dyDescent="0.35">
      <c r="A15" t="s">
        <v>32</v>
      </c>
      <c r="B15" t="s">
        <v>7</v>
      </c>
      <c r="C15" t="s">
        <v>8</v>
      </c>
      <c r="D15" s="1">
        <v>45164</v>
      </c>
      <c r="E15">
        <v>4</v>
      </c>
      <c r="F15" s="2">
        <v>45570</v>
      </c>
      <c r="G15">
        <f ca="1">DATEDIF(Table1[[#This Row],[Joining Date]], IF(Table1[[#This Row],[Exit Date]]="", TODAY(), Table1[[#This Row],[Exit Date]]), "M")</f>
        <v>13</v>
      </c>
      <c r="H15">
        <v>2.58</v>
      </c>
      <c r="I15">
        <f ca="1">NETWORKDAYS(Table1[[#This Row],[Joining Date]],TODAY())-Table1[[#This Row],[Leaves Taken]]</f>
        <v>474</v>
      </c>
      <c r="J15" t="s">
        <v>71</v>
      </c>
      <c r="K15" s="3">
        <v>42</v>
      </c>
      <c r="L15" s="3" t="str">
        <f>IF(Table1[[#This Row],[Age]]&lt;30, "20-29", IF(Table1[[#This Row],[Age]]&lt;40, "30-39", IF(Table1[[#This Row],[Age]]&lt;50, "40-49", "50+")))</f>
        <v>40-49</v>
      </c>
      <c r="M15" s="3"/>
      <c r="N15" s="3"/>
      <c r="O15" s="5" t="s">
        <v>10</v>
      </c>
      <c r="P15" s="3">
        <v>18.169999999999998</v>
      </c>
      <c r="R15" s="5" t="s">
        <v>10</v>
      </c>
      <c r="S15" s="3">
        <v>31.2</v>
      </c>
    </row>
    <row r="16" spans="1:21" x14ac:dyDescent="0.35">
      <c r="A16" t="s">
        <v>33</v>
      </c>
      <c r="B16" t="s">
        <v>28</v>
      </c>
      <c r="C16" t="s">
        <v>34</v>
      </c>
      <c r="D16" s="1">
        <v>45686</v>
      </c>
      <c r="E16">
        <v>5</v>
      </c>
      <c r="F16" s="2"/>
      <c r="G16">
        <f ca="1">DATEDIF(Table1[[#This Row],[Joining Date]], IF(Table1[[#This Row],[Exit Date]]="", TODAY(), Table1[[#This Row],[Exit Date]]), "M")</f>
        <v>4</v>
      </c>
      <c r="H16">
        <v>4.4800000000000004</v>
      </c>
      <c r="I16">
        <f ca="1">NETWORKDAYS(Table1[[#This Row],[Joining Date]],TODAY())-Table1[[#This Row],[Leaves Taken]]</f>
        <v>101</v>
      </c>
      <c r="J16" t="s">
        <v>71</v>
      </c>
      <c r="K16" s="3">
        <v>26</v>
      </c>
      <c r="L16" s="3" t="str">
        <f>IF(Table1[[#This Row],[Age]]&lt;30, "20-29", IF(Table1[[#This Row],[Age]]&lt;40, "30-39", IF(Table1[[#This Row],[Age]]&lt;50, "40-49", "50+")))</f>
        <v>20-29</v>
      </c>
      <c r="M16" s="3"/>
      <c r="N16" s="3"/>
      <c r="O16" s="5" t="s">
        <v>7</v>
      </c>
      <c r="P16" s="3">
        <v>20.75</v>
      </c>
      <c r="R16" s="5" t="s">
        <v>7</v>
      </c>
      <c r="S16" s="3">
        <v>33.142857142857146</v>
      </c>
    </row>
    <row r="17" spans="1:23" x14ac:dyDescent="0.35">
      <c r="A17" t="s">
        <v>35</v>
      </c>
      <c r="B17" t="s">
        <v>19</v>
      </c>
      <c r="C17" t="s">
        <v>36</v>
      </c>
      <c r="D17" s="1">
        <v>44131</v>
      </c>
      <c r="E17">
        <v>5</v>
      </c>
      <c r="F17" s="2">
        <v>44503</v>
      </c>
      <c r="G17">
        <f ca="1">DATEDIF(Table1[[#This Row],[Joining Date]], IF(Table1[[#This Row],[Exit Date]]="", TODAY(), Table1[[#This Row],[Exit Date]]), "M")</f>
        <v>12</v>
      </c>
      <c r="H17">
        <v>4.5</v>
      </c>
      <c r="I17">
        <f ca="1">NETWORKDAYS(Table1[[#This Row],[Joining Date]],TODAY())-Table1[[#This Row],[Leaves Taken]]</f>
        <v>1212</v>
      </c>
      <c r="J17" t="s">
        <v>70</v>
      </c>
      <c r="K17" s="3">
        <v>33</v>
      </c>
      <c r="L17" s="3" t="str">
        <f>IF(Table1[[#This Row],[Age]]&lt;30, "20-29", IF(Table1[[#This Row],[Age]]&lt;40, "30-39", IF(Table1[[#This Row],[Age]]&lt;50, "40-49", "50+")))</f>
        <v>30-39</v>
      </c>
      <c r="M17" s="3"/>
      <c r="N17" s="3"/>
      <c r="O17" s="5" t="s">
        <v>24</v>
      </c>
      <c r="P17" s="3">
        <v>12.4</v>
      </c>
      <c r="R17" s="5" t="s">
        <v>24</v>
      </c>
      <c r="S17" s="3">
        <v>30.5</v>
      </c>
    </row>
    <row r="18" spans="1:23" x14ac:dyDescent="0.35">
      <c r="A18" t="s">
        <v>37</v>
      </c>
      <c r="B18" t="s">
        <v>7</v>
      </c>
      <c r="C18" t="s">
        <v>17</v>
      </c>
      <c r="D18" s="1">
        <v>44756</v>
      </c>
      <c r="E18">
        <v>10</v>
      </c>
      <c r="F18" s="2"/>
      <c r="G18">
        <f ca="1">DATEDIF(Table1[[#This Row],[Joining Date]], IF(Table1[[#This Row],[Exit Date]]="", TODAY(), Table1[[#This Row],[Exit Date]]), "M")</f>
        <v>35</v>
      </c>
      <c r="H18">
        <v>2.95</v>
      </c>
      <c r="I18">
        <f ca="1">NETWORKDAYS(Table1[[#This Row],[Joining Date]],TODAY())-Table1[[#This Row],[Leaves Taken]]</f>
        <v>760</v>
      </c>
      <c r="J18" t="s">
        <v>71</v>
      </c>
      <c r="K18" s="3">
        <v>27</v>
      </c>
      <c r="L18" s="3" t="str">
        <f>IF(Table1[[#This Row],[Age]]&lt;30, "20-29", IF(Table1[[#This Row],[Age]]&lt;40, "30-39", IF(Table1[[#This Row],[Age]]&lt;50, "40-49", "50+")))</f>
        <v>20-29</v>
      </c>
      <c r="M18" s="3"/>
      <c r="N18" s="3"/>
      <c r="O18" s="5" t="s">
        <v>28</v>
      </c>
      <c r="P18" s="3">
        <v>10.210000000000001</v>
      </c>
      <c r="R18" s="5" t="s">
        <v>28</v>
      </c>
      <c r="S18" s="3">
        <v>33.666666666666664</v>
      </c>
    </row>
    <row r="19" spans="1:23" x14ac:dyDescent="0.35">
      <c r="A19" t="s">
        <v>38</v>
      </c>
      <c r="B19" t="s">
        <v>10</v>
      </c>
      <c r="C19" t="s">
        <v>22</v>
      </c>
      <c r="D19" s="1">
        <v>45787</v>
      </c>
      <c r="E19">
        <v>4</v>
      </c>
      <c r="F19" s="2"/>
      <c r="G19">
        <f ca="1">DATEDIF(Table1[[#This Row],[Joining Date]], IF(Table1[[#This Row],[Exit Date]]="", TODAY(), Table1[[#This Row],[Exit Date]]), "M")</f>
        <v>1</v>
      </c>
      <c r="H19">
        <v>1.1100000000000001</v>
      </c>
      <c r="I19">
        <f ca="1">NETWORKDAYS(Table1[[#This Row],[Joining Date]],TODAY())-Table1[[#This Row],[Leaves Taken]]</f>
        <v>29</v>
      </c>
      <c r="J19" t="s">
        <v>70</v>
      </c>
      <c r="K19" s="3">
        <v>35</v>
      </c>
      <c r="L19" s="3" t="str">
        <f>IF(Table1[[#This Row],[Age]]&lt;30, "20-29", IF(Table1[[#This Row],[Age]]&lt;40, "30-39", IF(Table1[[#This Row],[Age]]&lt;50, "40-49", "50+")))</f>
        <v>30-39</v>
      </c>
      <c r="M19" s="3"/>
      <c r="N19" s="3"/>
      <c r="O19" s="5" t="s">
        <v>61</v>
      </c>
      <c r="P19" s="3">
        <v>96.199999999999989</v>
      </c>
      <c r="R19" s="5" t="s">
        <v>61</v>
      </c>
      <c r="S19" s="3">
        <v>32.633333333333333</v>
      </c>
    </row>
    <row r="20" spans="1:23" x14ac:dyDescent="0.35">
      <c r="A20" t="s">
        <v>39</v>
      </c>
      <c r="B20" t="s">
        <v>7</v>
      </c>
      <c r="C20" t="s">
        <v>17</v>
      </c>
      <c r="D20" s="1">
        <v>44067</v>
      </c>
      <c r="E20">
        <v>1</v>
      </c>
      <c r="F20" s="2">
        <v>44336</v>
      </c>
      <c r="G20">
        <f ca="1">DATEDIF(Table1[[#This Row],[Joining Date]], IF(Table1[[#This Row],[Exit Date]]="", TODAY(), Table1[[#This Row],[Exit Date]]), "M")</f>
        <v>8</v>
      </c>
      <c r="H20">
        <v>4.97</v>
      </c>
      <c r="I20">
        <f ca="1">NETWORKDAYS(Table1[[#This Row],[Joining Date]],TODAY())-Table1[[#This Row],[Leaves Taken]]</f>
        <v>1262</v>
      </c>
      <c r="J20" t="s">
        <v>71</v>
      </c>
      <c r="K20" s="3">
        <v>39</v>
      </c>
      <c r="L20" s="3" t="str">
        <f>IF(Table1[[#This Row],[Age]]&lt;30, "20-29", IF(Table1[[#This Row],[Age]]&lt;40, "30-39", IF(Table1[[#This Row],[Age]]&lt;50, "40-49", "50+")))</f>
        <v>30-39</v>
      </c>
      <c r="M20" s="3"/>
      <c r="N20" s="3"/>
      <c r="R20" s="2"/>
    </row>
    <row r="21" spans="1:23" ht="18" customHeight="1" x14ac:dyDescent="0.35">
      <c r="A21" t="s">
        <v>40</v>
      </c>
      <c r="B21" t="s">
        <v>19</v>
      </c>
      <c r="C21" t="s">
        <v>36</v>
      </c>
      <c r="D21" s="1">
        <v>45236</v>
      </c>
      <c r="E21">
        <v>5</v>
      </c>
      <c r="F21" s="2"/>
      <c r="G21">
        <f ca="1">DATEDIF(Table1[[#This Row],[Joining Date]], IF(Table1[[#This Row],[Exit Date]]="", TODAY(), Table1[[#This Row],[Exit Date]]), "M")</f>
        <v>19</v>
      </c>
      <c r="H21">
        <v>2.2999999999999998</v>
      </c>
      <c r="I21">
        <f ca="1">NETWORKDAYS(Table1[[#This Row],[Joining Date]],TODAY())-Table1[[#This Row],[Leaves Taken]]</f>
        <v>423</v>
      </c>
      <c r="J21" t="s">
        <v>71</v>
      </c>
      <c r="K21" s="3">
        <v>32</v>
      </c>
      <c r="L21" s="3" t="str">
        <f>IF(Table1[[#This Row],[Age]]&lt;30, "20-29", IF(Table1[[#This Row],[Age]]&lt;40, "30-39", IF(Table1[[#This Row],[Age]]&lt;50, "40-49", "50+")))</f>
        <v>30-39</v>
      </c>
      <c r="M21" s="3"/>
      <c r="N21" s="3"/>
      <c r="O21" s="4" t="s">
        <v>85</v>
      </c>
      <c r="P21" t="s">
        <v>62</v>
      </c>
      <c r="R21" s="4" t="s">
        <v>85</v>
      </c>
      <c r="S21" t="s">
        <v>72</v>
      </c>
    </row>
    <row r="22" spans="1:23" x14ac:dyDescent="0.35">
      <c r="A22" t="s">
        <v>41</v>
      </c>
      <c r="B22" t="s">
        <v>13</v>
      </c>
      <c r="C22" t="s">
        <v>14</v>
      </c>
      <c r="D22" s="1">
        <v>44701</v>
      </c>
      <c r="E22">
        <v>9</v>
      </c>
      <c r="F22" s="2"/>
      <c r="G22">
        <f ca="1">DATEDIF(Table1[[#This Row],[Joining Date]], IF(Table1[[#This Row],[Exit Date]]="", TODAY(), Table1[[#This Row],[Exit Date]]), "M")</f>
        <v>37</v>
      </c>
      <c r="H22">
        <v>4.24</v>
      </c>
      <c r="I22">
        <f ca="1">NETWORKDAYS(Table1[[#This Row],[Joining Date]],TODAY())-Table1[[#This Row],[Leaves Taken]]</f>
        <v>800</v>
      </c>
      <c r="J22" t="s">
        <v>71</v>
      </c>
      <c r="K22" s="3">
        <v>31</v>
      </c>
      <c r="L22" s="3" t="str">
        <f>IF(Table1[[#This Row],[Age]]&lt;30, "20-29", IF(Table1[[#This Row],[Age]]&lt;40, "30-39", IF(Table1[[#This Row],[Age]]&lt;50, "40-49", "50+")))</f>
        <v>30-39</v>
      </c>
      <c r="M22" s="3"/>
      <c r="N22" s="3"/>
      <c r="O22" s="5" t="s">
        <v>19</v>
      </c>
      <c r="P22" s="3">
        <v>23.48</v>
      </c>
      <c r="R22" s="5" t="s">
        <v>19</v>
      </c>
      <c r="S22" s="3">
        <v>4</v>
      </c>
    </row>
    <row r="23" spans="1:23" x14ac:dyDescent="0.35">
      <c r="A23" t="s">
        <v>42</v>
      </c>
      <c r="B23" t="s">
        <v>24</v>
      </c>
      <c r="C23" t="s">
        <v>25</v>
      </c>
      <c r="D23" s="1">
        <v>45186</v>
      </c>
      <c r="E23">
        <v>2</v>
      </c>
      <c r="F23" s="2"/>
      <c r="G23">
        <f ca="1">DATEDIF(Table1[[#This Row],[Joining Date]], IF(Table1[[#This Row],[Exit Date]]="", TODAY(), Table1[[#This Row],[Exit Date]]), "M")</f>
        <v>21</v>
      </c>
      <c r="H23">
        <v>1.1599999999999999</v>
      </c>
      <c r="I23">
        <f ca="1">NETWORKDAYS(Table1[[#This Row],[Joining Date]],TODAY())-Table1[[#This Row],[Leaves Taken]]</f>
        <v>461</v>
      </c>
      <c r="J23" t="s">
        <v>70</v>
      </c>
      <c r="K23" s="3">
        <v>30</v>
      </c>
      <c r="L23" s="3" t="str">
        <f>IF(Table1[[#This Row],[Age]]&lt;30, "20-29", IF(Table1[[#This Row],[Age]]&lt;40, "30-39", IF(Table1[[#This Row],[Age]]&lt;50, "40-49", "50+")))</f>
        <v>30-39</v>
      </c>
      <c r="M23" s="3"/>
      <c r="N23" s="3"/>
      <c r="O23" s="5" t="s">
        <v>13</v>
      </c>
      <c r="P23" s="3">
        <v>11.19</v>
      </c>
      <c r="R23" s="5" t="s">
        <v>13</v>
      </c>
      <c r="S23" s="3">
        <v>1</v>
      </c>
    </row>
    <row r="24" spans="1:23" x14ac:dyDescent="0.35">
      <c r="A24" t="s">
        <v>43</v>
      </c>
      <c r="B24" t="s">
        <v>19</v>
      </c>
      <c r="C24" t="s">
        <v>20</v>
      </c>
      <c r="D24" s="1">
        <v>44518</v>
      </c>
      <c r="E24">
        <v>2</v>
      </c>
      <c r="F24" s="2">
        <v>44899</v>
      </c>
      <c r="G24">
        <f ca="1">DATEDIF(Table1[[#This Row],[Joining Date]], IF(Table1[[#This Row],[Exit Date]]="", TODAY(), Table1[[#This Row],[Exit Date]]), "M")</f>
        <v>12</v>
      </c>
      <c r="H24">
        <v>2.29</v>
      </c>
      <c r="I24">
        <f ca="1">NETWORKDAYS(Table1[[#This Row],[Joining Date]],TODAY())-Table1[[#This Row],[Leaves Taken]]</f>
        <v>938</v>
      </c>
      <c r="J24" t="s">
        <v>70</v>
      </c>
      <c r="K24" s="3">
        <v>37</v>
      </c>
      <c r="L24" s="3" t="str">
        <f>IF(Table1[[#This Row],[Age]]&lt;30, "20-29", IF(Table1[[#This Row],[Age]]&lt;40, "30-39", IF(Table1[[#This Row],[Age]]&lt;50, "40-49", "50+")))</f>
        <v>30-39</v>
      </c>
      <c r="M24" s="3"/>
      <c r="N24" s="3"/>
      <c r="O24" s="5" t="s">
        <v>10</v>
      </c>
      <c r="P24" s="3">
        <v>18.170000000000002</v>
      </c>
      <c r="R24" s="5" t="s">
        <v>10</v>
      </c>
      <c r="S24" s="3">
        <v>1</v>
      </c>
    </row>
    <row r="25" spans="1:23" x14ac:dyDescent="0.35">
      <c r="A25" t="s">
        <v>44</v>
      </c>
      <c r="B25" t="s">
        <v>24</v>
      </c>
      <c r="C25" t="s">
        <v>45</v>
      </c>
      <c r="D25" s="1">
        <v>44652</v>
      </c>
      <c r="E25">
        <v>10</v>
      </c>
      <c r="F25" s="2"/>
      <c r="G25">
        <f ca="1">DATEDIF(Table1[[#This Row],[Joining Date]], IF(Table1[[#This Row],[Exit Date]]="", TODAY(), Table1[[#This Row],[Exit Date]]), "M")</f>
        <v>38</v>
      </c>
      <c r="H25">
        <v>4.45</v>
      </c>
      <c r="I25">
        <f ca="1">NETWORKDAYS(Table1[[#This Row],[Joining Date]],TODAY())-Table1[[#This Row],[Leaves Taken]]</f>
        <v>834</v>
      </c>
      <c r="J25" t="s">
        <v>70</v>
      </c>
      <c r="K25" s="3">
        <v>32</v>
      </c>
      <c r="L25" s="3" t="str">
        <f>IF(Table1[[#This Row],[Age]]&lt;30, "20-29", IF(Table1[[#This Row],[Age]]&lt;40, "30-39", IF(Table1[[#This Row],[Age]]&lt;50, "40-49", "50+")))</f>
        <v>30-39</v>
      </c>
      <c r="M25" s="3"/>
      <c r="N25" s="3"/>
      <c r="O25" s="5" t="s">
        <v>7</v>
      </c>
      <c r="P25" s="3">
        <v>20.75</v>
      </c>
      <c r="R25" s="5" t="s">
        <v>7</v>
      </c>
      <c r="S25" s="3">
        <v>3</v>
      </c>
    </row>
    <row r="26" spans="1:23" x14ac:dyDescent="0.35">
      <c r="A26" t="s">
        <v>46</v>
      </c>
      <c r="B26" t="s">
        <v>7</v>
      </c>
      <c r="C26" t="s">
        <v>8</v>
      </c>
      <c r="D26" s="1">
        <v>45189</v>
      </c>
      <c r="E26">
        <v>7</v>
      </c>
      <c r="F26" s="2"/>
      <c r="G26">
        <f ca="1">DATEDIF(Table1[[#This Row],[Joining Date]], IF(Table1[[#This Row],[Exit Date]]="", TODAY(), Table1[[#This Row],[Exit Date]]), "M")</f>
        <v>21</v>
      </c>
      <c r="H26">
        <v>4.84</v>
      </c>
      <c r="I26">
        <f ca="1">NETWORKDAYS(Table1[[#This Row],[Joining Date]],TODAY())-Table1[[#This Row],[Leaves Taken]]</f>
        <v>454</v>
      </c>
      <c r="J26" t="s">
        <v>71</v>
      </c>
      <c r="K26" s="3">
        <v>24</v>
      </c>
      <c r="L26" s="3" t="str">
        <f>IF(Table1[[#This Row],[Age]]&lt;30, "20-29", IF(Table1[[#This Row],[Age]]&lt;40, "30-39", IF(Table1[[#This Row],[Age]]&lt;50, "40-49", "50+")))</f>
        <v>20-29</v>
      </c>
      <c r="M26" s="3"/>
      <c r="N26" s="3"/>
      <c r="O26" s="5" t="s">
        <v>24</v>
      </c>
      <c r="P26" s="3">
        <v>12.4</v>
      </c>
      <c r="R26" s="5" t="s">
        <v>24</v>
      </c>
      <c r="S26" s="3">
        <v>1</v>
      </c>
      <c r="V26" s="5"/>
      <c r="W26" s="3"/>
    </row>
    <row r="27" spans="1:23" x14ac:dyDescent="0.35">
      <c r="A27" t="s">
        <v>47</v>
      </c>
      <c r="B27" t="s">
        <v>13</v>
      </c>
      <c r="C27" t="s">
        <v>48</v>
      </c>
      <c r="D27" s="1">
        <v>44946</v>
      </c>
      <c r="E27">
        <v>3</v>
      </c>
      <c r="F27" s="2">
        <v>45312</v>
      </c>
      <c r="G27">
        <f ca="1">DATEDIF(Table1[[#This Row],[Joining Date]], IF(Table1[[#This Row],[Exit Date]]="", TODAY(), Table1[[#This Row],[Exit Date]]), "M")</f>
        <v>12</v>
      </c>
      <c r="H27">
        <v>1.96</v>
      </c>
      <c r="I27">
        <f ca="1">NETWORKDAYS(Table1[[#This Row],[Joining Date]],TODAY())-Table1[[#This Row],[Leaves Taken]]</f>
        <v>631</v>
      </c>
      <c r="J27" t="s">
        <v>71</v>
      </c>
      <c r="K27" s="3">
        <v>34</v>
      </c>
      <c r="L27" s="3" t="str">
        <f>IF(Table1[[#This Row],[Age]]&lt;30, "20-29", IF(Table1[[#This Row],[Age]]&lt;40, "30-39", IF(Table1[[#This Row],[Age]]&lt;50, "40-49", "50+")))</f>
        <v>30-39</v>
      </c>
      <c r="M27" s="3"/>
      <c r="N27" s="3"/>
      <c r="O27" s="5" t="s">
        <v>28</v>
      </c>
      <c r="P27" s="3">
        <v>10.210000000000001</v>
      </c>
      <c r="R27" s="5" t="s">
        <v>61</v>
      </c>
      <c r="S27" s="3">
        <v>10</v>
      </c>
      <c r="V27" s="5"/>
      <c r="W27" s="3"/>
    </row>
    <row r="28" spans="1:23" x14ac:dyDescent="0.35">
      <c r="A28" t="s">
        <v>49</v>
      </c>
      <c r="B28" t="s">
        <v>10</v>
      </c>
      <c r="C28" t="s">
        <v>22</v>
      </c>
      <c r="D28" s="1">
        <v>45357</v>
      </c>
      <c r="E28">
        <v>6</v>
      </c>
      <c r="F28" s="2"/>
      <c r="G28">
        <f ca="1">DATEDIF(Table1[[#This Row],[Joining Date]], IF(Table1[[#This Row],[Exit Date]]="", TODAY(), Table1[[#This Row],[Exit Date]]), "M")</f>
        <v>15</v>
      </c>
      <c r="H28">
        <v>4.79</v>
      </c>
      <c r="I28">
        <f ca="1">NETWORKDAYS(Table1[[#This Row],[Joining Date]],TODAY())-Table1[[#This Row],[Leaves Taken]]</f>
        <v>335</v>
      </c>
      <c r="J28" t="s">
        <v>71</v>
      </c>
      <c r="K28" s="3">
        <v>29</v>
      </c>
      <c r="L28" s="3" t="str">
        <f>IF(Table1[[#This Row],[Age]]&lt;30, "20-29", IF(Table1[[#This Row],[Age]]&lt;40, "30-39", IF(Table1[[#This Row],[Age]]&lt;50, "40-49", "50+")))</f>
        <v>20-29</v>
      </c>
      <c r="M28" s="3"/>
      <c r="N28" s="3"/>
      <c r="O28" s="5" t="s">
        <v>61</v>
      </c>
      <c r="P28" s="3">
        <v>96.2</v>
      </c>
      <c r="V28" s="5"/>
      <c r="W28" s="3"/>
    </row>
    <row r="29" spans="1:23" x14ac:dyDescent="0.35">
      <c r="A29" t="s">
        <v>50</v>
      </c>
      <c r="B29" t="s">
        <v>28</v>
      </c>
      <c r="C29" t="s">
        <v>29</v>
      </c>
      <c r="D29" s="1">
        <v>45436</v>
      </c>
      <c r="E29">
        <v>2</v>
      </c>
      <c r="F29" s="2"/>
      <c r="G29">
        <f ca="1">DATEDIF(Table1[[#This Row],[Joining Date]], IF(Table1[[#This Row],[Exit Date]]="", TODAY(), Table1[[#This Row],[Exit Date]]), "M")</f>
        <v>13</v>
      </c>
      <c r="H29">
        <v>2.84</v>
      </c>
      <c r="I29">
        <f ca="1">NETWORKDAYS(Table1[[#This Row],[Joining Date]],TODAY())-Table1[[#This Row],[Leaves Taken]]</f>
        <v>282</v>
      </c>
      <c r="J29" t="s">
        <v>70</v>
      </c>
      <c r="K29" s="3">
        <v>43</v>
      </c>
      <c r="L29" s="3" t="str">
        <f>IF(Table1[[#This Row],[Age]]&lt;30, "20-29", IF(Table1[[#This Row],[Age]]&lt;40, "30-39", IF(Table1[[#This Row],[Age]]&lt;50, "40-49", "50+")))</f>
        <v>40-49</v>
      </c>
      <c r="M29" s="3"/>
      <c r="N29" s="3"/>
      <c r="R29" s="4" t="s">
        <v>84</v>
      </c>
      <c r="S29" t="s">
        <v>72</v>
      </c>
      <c r="V29" s="5"/>
      <c r="W29" s="3"/>
    </row>
    <row r="30" spans="1:23" x14ac:dyDescent="0.35">
      <c r="A30" t="s">
        <v>51</v>
      </c>
      <c r="B30" t="s">
        <v>19</v>
      </c>
      <c r="C30" t="s">
        <v>31</v>
      </c>
      <c r="D30" s="1">
        <v>44181</v>
      </c>
      <c r="E30">
        <v>4</v>
      </c>
      <c r="F30" s="2">
        <v>44318</v>
      </c>
      <c r="G30">
        <f ca="1">DATEDIF(Table1[[#This Row],[Joining Date]], IF(Table1[[#This Row],[Exit Date]]="", TODAY(), Table1[[#This Row],[Exit Date]]), "M")</f>
        <v>4</v>
      </c>
      <c r="H30">
        <v>4.0999999999999996</v>
      </c>
      <c r="I30">
        <f ca="1">NETWORKDAYS(Table1[[#This Row],[Joining Date]],TODAY())-Table1[[#This Row],[Leaves Taken]]</f>
        <v>1177</v>
      </c>
      <c r="J30" t="s">
        <v>70</v>
      </c>
      <c r="K30" s="3">
        <v>35</v>
      </c>
      <c r="L30" s="3" t="str">
        <f>IF(Table1[[#This Row],[Age]]&lt;30, "20-29", IF(Table1[[#This Row],[Age]]&lt;40, "30-39", IF(Table1[[#This Row],[Age]]&lt;50, "40-49", "50+")))</f>
        <v>30-39</v>
      </c>
      <c r="M30" s="3"/>
      <c r="N30" s="3"/>
      <c r="R30" s="5" t="s">
        <v>74</v>
      </c>
      <c r="S30" s="3">
        <v>3</v>
      </c>
      <c r="V30" s="5"/>
      <c r="W30" s="3"/>
    </row>
    <row r="31" spans="1:23" x14ac:dyDescent="0.35">
      <c r="A31" t="s">
        <v>52</v>
      </c>
      <c r="B31" t="s">
        <v>10</v>
      </c>
      <c r="C31" t="s">
        <v>11</v>
      </c>
      <c r="D31" s="1">
        <v>45809</v>
      </c>
      <c r="E31">
        <v>0</v>
      </c>
      <c r="F31" s="2"/>
      <c r="G31">
        <f ca="1">DATEDIF(Table1[[#This Row],[Joining Date]], IF(Table1[[#This Row],[Exit Date]]="", TODAY(), Table1[[#This Row],[Exit Date]]), "M")</f>
        <v>0</v>
      </c>
      <c r="H31">
        <v>4.8600000000000003</v>
      </c>
      <c r="I31">
        <f ca="1">NETWORKDAYS(Table1[[#This Row],[Joining Date]],TODAY())-Table1[[#This Row],[Leaves Taken]]</f>
        <v>18</v>
      </c>
      <c r="J31" t="s">
        <v>70</v>
      </c>
      <c r="K31" s="3">
        <v>36</v>
      </c>
      <c r="L31" s="3" t="str">
        <f>IF(Table1[[#This Row],[Age]]&lt;30, "20-29", IF(Table1[[#This Row],[Age]]&lt;40, "30-39", IF(Table1[[#This Row],[Age]]&lt;50, "40-49", "50+")))</f>
        <v>30-39</v>
      </c>
      <c r="M31" s="3"/>
      <c r="N31" s="3"/>
      <c r="R31" s="5" t="s">
        <v>75</v>
      </c>
      <c r="S31" s="3">
        <v>6</v>
      </c>
      <c r="V31" s="5"/>
      <c r="W31" s="3"/>
    </row>
    <row r="32" spans="1:23" x14ac:dyDescent="0.35">
      <c r="A32" t="s">
        <v>53</v>
      </c>
      <c r="B32" t="s">
        <v>13</v>
      </c>
      <c r="C32" t="s">
        <v>48</v>
      </c>
      <c r="D32" s="1">
        <v>44666</v>
      </c>
      <c r="E32">
        <v>10</v>
      </c>
      <c r="F32" s="2"/>
      <c r="G32">
        <f ca="1">DATEDIF(Table1[[#This Row],[Joining Date]], IF(Table1[[#This Row],[Exit Date]]="", TODAY(), Table1[[#This Row],[Exit Date]]), "M")</f>
        <v>38</v>
      </c>
      <c r="H32">
        <v>3.3</v>
      </c>
      <c r="I32">
        <f ca="1">NETWORKDAYS(Table1[[#This Row],[Joining Date]],TODAY())-Table1[[#This Row],[Leaves Taken]]</f>
        <v>824</v>
      </c>
      <c r="J32" t="s">
        <v>70</v>
      </c>
      <c r="K32" s="3">
        <v>34</v>
      </c>
      <c r="L32" s="3" t="str">
        <f>IF(Table1[[#This Row],[Age]]&lt;30, "20-29", IF(Table1[[#This Row],[Age]]&lt;40, "30-39", IF(Table1[[#This Row],[Age]]&lt;50, "40-49", "50+")))</f>
        <v>30-39</v>
      </c>
      <c r="M32" s="3"/>
      <c r="N32" s="3"/>
      <c r="R32" s="5" t="s">
        <v>88</v>
      </c>
      <c r="S32" s="3">
        <v>1</v>
      </c>
      <c r="V32" s="5"/>
      <c r="W32" s="3"/>
    </row>
    <row r="33" spans="1:19" x14ac:dyDescent="0.35">
      <c r="A33" t="s">
        <v>54</v>
      </c>
      <c r="B33" t="s">
        <v>19</v>
      </c>
      <c r="C33" t="s">
        <v>36</v>
      </c>
      <c r="D33" s="1">
        <v>44165</v>
      </c>
      <c r="E33">
        <v>9</v>
      </c>
      <c r="F33" s="2">
        <v>44553</v>
      </c>
      <c r="G33">
        <f ca="1">DATEDIF(Table1[[#This Row],[Joining Date]], IF(Table1[[#This Row],[Exit Date]]="", TODAY(), Table1[[#This Row],[Exit Date]]), "M")</f>
        <v>12</v>
      </c>
      <c r="H33">
        <v>3.85</v>
      </c>
      <c r="I33">
        <f ca="1">NETWORKDAYS(Table1[[#This Row],[Joining Date]],TODAY())-Table1[[#This Row],[Leaves Taken]]</f>
        <v>1184</v>
      </c>
      <c r="J33" t="s">
        <v>70</v>
      </c>
      <c r="K33" s="3">
        <v>29</v>
      </c>
      <c r="L33" s="3" t="str">
        <f>IF(Table1[[#This Row],[Age]]&lt;30, "20-29", IF(Table1[[#This Row],[Age]]&lt;40, "30-39", IF(Table1[[#This Row],[Age]]&lt;50, "40-49", "50+")))</f>
        <v>20-29</v>
      </c>
      <c r="M33" s="3"/>
      <c r="N33" s="3"/>
      <c r="R33" s="5" t="s">
        <v>61</v>
      </c>
      <c r="S33" s="3">
        <v>10</v>
      </c>
    </row>
    <row r="34" spans="1:19" x14ac:dyDescent="0.35">
      <c r="O34" s="5"/>
    </row>
    <row r="35" spans="1:19" ht="43.5" x14ac:dyDescent="0.35">
      <c r="O35" s="16" t="s">
        <v>81</v>
      </c>
      <c r="P35" s="10" t="s">
        <v>79</v>
      </c>
      <c r="Q35" s="10" t="s">
        <v>64</v>
      </c>
      <c r="R35" s="13" t="s">
        <v>82</v>
      </c>
      <c r="S35" t="s">
        <v>83</v>
      </c>
    </row>
    <row r="36" spans="1:19" x14ac:dyDescent="0.35">
      <c r="O36" s="8">
        <f>COUNTA(Table1[Name])</f>
        <v>30</v>
      </c>
      <c r="P36" s="8">
        <f>COUNTA(Table1[Exit Date])</f>
        <v>10</v>
      </c>
      <c r="Q36" s="14">
        <f>P36/COUNTA(Table1[Name]) * 100</f>
        <v>33.333333333333329</v>
      </c>
      <c r="R36" s="9">
        <f ca="1">AVERAGEIFS(Table1[Tenure],Table1[Exit Date], "&lt;&gt;" &amp; "")</f>
        <v>10.9</v>
      </c>
      <c r="S36">
        <f>O36-P36</f>
        <v>20</v>
      </c>
    </row>
    <row r="53" spans="15:15" x14ac:dyDescent="0.35">
      <c r="O53" s="6"/>
    </row>
    <row r="54" spans="15:15" x14ac:dyDescent="0.35">
      <c r="O54" s="6"/>
    </row>
    <row r="55" spans="15:15" x14ac:dyDescent="0.35">
      <c r="O55" s="6"/>
    </row>
    <row r="56" spans="15:15" x14ac:dyDescent="0.35">
      <c r="O56" s="6"/>
    </row>
    <row r="57" spans="15:15" x14ac:dyDescent="0.35">
      <c r="O57" s="6"/>
    </row>
    <row r="58" spans="15:15" x14ac:dyDescent="0.35">
      <c r="O58" s="6"/>
    </row>
    <row r="59" spans="15:15" x14ac:dyDescent="0.35">
      <c r="O59" s="6"/>
    </row>
    <row r="60" spans="15:15" x14ac:dyDescent="0.35">
      <c r="O60" s="5"/>
    </row>
    <row r="61" spans="15:15" x14ac:dyDescent="0.35">
      <c r="O61" s="6"/>
    </row>
    <row r="62" spans="15:15" x14ac:dyDescent="0.35">
      <c r="O62" s="6"/>
    </row>
    <row r="63" spans="15:15" x14ac:dyDescent="0.35">
      <c r="O63" s="6"/>
    </row>
    <row r="64" spans="15:15" x14ac:dyDescent="0.35">
      <c r="O64" s="6"/>
    </row>
    <row r="65" spans="15:15" x14ac:dyDescent="0.35">
      <c r="O65" s="6"/>
    </row>
    <row r="66" spans="15:15" x14ac:dyDescent="0.35">
      <c r="O66" s="6"/>
    </row>
    <row r="67" spans="15:15" x14ac:dyDescent="0.35">
      <c r="O67" s="6"/>
    </row>
    <row r="68" spans="15:15" x14ac:dyDescent="0.35">
      <c r="O68" s="6"/>
    </row>
    <row r="69" spans="15:15" x14ac:dyDescent="0.35">
      <c r="O69" s="5"/>
    </row>
  </sheetData>
  <mergeCells count="1">
    <mergeCell ref="A1:U2"/>
  </mergeCells>
  <conditionalFormatting sqref="A4:L33">
    <cfRule type="expression" dxfId="17" priority="1">
      <formula>AND($G4&lt;24,$E4&gt;4)</formula>
    </cfRule>
  </conditionalFormatting>
  <dataValidations count="1">
    <dataValidation type="list" allowBlank="1" showInputMessage="1" showErrorMessage="1" sqref="J4:J33">
      <formula1>"Male, Female"</formula1>
    </dataValidation>
  </dataValidations>
  <pageMargins left="0.7" right="0.7" top="0.75" bottom="0.75" header="0.3" footer="0.3"/>
  <pageSetup orientation="portrait" r:id="rId6"/>
  <drawing r:id="rId7"/>
  <tableParts count="5">
    <tablePart r:id="rId8"/>
    <tablePart r:id="rId9"/>
    <tablePart r:id="rId10"/>
    <tablePart r:id="rId1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2025-06-24T12:44:12Z</dcterms:created>
  <dcterms:modified xsi:type="dcterms:W3CDTF">2025-06-24T18:35:39Z</dcterms:modified>
</cp:coreProperties>
</file>