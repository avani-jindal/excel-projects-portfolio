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Acer\Desktop\"/>
    </mc:Choice>
  </mc:AlternateContent>
  <bookViews>
    <workbookView xWindow="0" yWindow="0" windowWidth="19200" windowHeight="7190"/>
  </bookViews>
  <sheets>
    <sheet name="Trip Dashboard" sheetId="3" r:id="rId1"/>
    <sheet name="Trip Data " sheetId="1" r:id="rId2"/>
    <sheet name="Trip Analysis" sheetId="4" r:id="rId3"/>
  </sheets>
  <definedNames>
    <definedName name="Slicer_Category">#N/A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3" i="3" l="1"/>
  <c r="B33" i="3"/>
  <c r="B15" i="4"/>
  <c r="J1" i="1"/>
  <c r="C16" i="4" l="1"/>
  <c r="C17" i="4"/>
  <c r="C18" i="4"/>
  <c r="C15" i="4"/>
  <c r="B16" i="4"/>
  <c r="B17" i="4"/>
  <c r="B18" i="4"/>
  <c r="B21" i="4"/>
  <c r="C21" i="4" s="1"/>
  <c r="J4" i="1" l="1"/>
  <c r="J5" i="1"/>
  <c r="J6"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7" i="1"/>
</calcChain>
</file>

<file path=xl/sharedStrings.xml><?xml version="1.0" encoding="utf-8"?>
<sst xmlns="http://schemas.openxmlformats.org/spreadsheetml/2006/main" count="308" uniqueCount="94">
  <si>
    <t>Date</t>
  </si>
  <si>
    <t>Day</t>
  </si>
  <si>
    <t>Time</t>
  </si>
  <si>
    <t>Activity</t>
  </si>
  <si>
    <t>Category</t>
  </si>
  <si>
    <t>Location</t>
  </si>
  <si>
    <t>Cost/Person</t>
  </si>
  <si>
    <t>Responsible Person</t>
  </si>
  <si>
    <t>Status</t>
  </si>
  <si>
    <t>Day 1</t>
  </si>
  <si>
    <t>Day 2</t>
  </si>
  <si>
    <t>Day 3</t>
  </si>
  <si>
    <t>Day 4</t>
  </si>
  <si>
    <t>Day 5</t>
  </si>
  <si>
    <t>Day 6</t>
  </si>
  <si>
    <t>Day 7</t>
  </si>
  <si>
    <t>Morning</t>
  </si>
  <si>
    <t>Afternoon</t>
  </si>
  <si>
    <t>Evening</t>
  </si>
  <si>
    <t>Noon</t>
  </si>
  <si>
    <t>Night</t>
  </si>
  <si>
    <t>Breakfast</t>
  </si>
  <si>
    <t>Flight to Bali</t>
  </si>
  <si>
    <t>Check-in Hotel</t>
  </si>
  <si>
    <t>Welcome Dinner</t>
  </si>
  <si>
    <t>Monkey Forest Visit</t>
  </si>
  <si>
    <t>Lunch @ Warung Biah Biah</t>
  </si>
  <si>
    <t>Balinese Cooking Class</t>
  </si>
  <si>
    <t>Hotel Stay</t>
  </si>
  <si>
    <t>Hotel Breakfast</t>
  </si>
  <si>
    <t>Rice Terrace Trek</t>
  </si>
  <si>
    <t>Transfer to Seminyak</t>
  </si>
  <si>
    <t>Free Exploration</t>
  </si>
  <si>
    <t>Surfing Lessons</t>
  </si>
  <si>
    <t>Lunch @ Sisterfields</t>
  </si>
  <si>
    <t>Sunset @ Tanah Lot</t>
  </si>
  <si>
    <t>Beach Time</t>
  </si>
  <si>
    <t>Shopping @ Beachwalk</t>
  </si>
  <si>
    <t>Dinner @ Motel Mexicola</t>
  </si>
  <si>
    <t>Chill Night</t>
  </si>
  <si>
    <t>Snorkeling Day Trip</t>
  </si>
  <si>
    <t>Dinner @ Rock Bar</t>
  </si>
  <si>
    <t>Backup Cab</t>
  </si>
  <si>
    <t>Visit Garuda Wisnu</t>
  </si>
  <si>
    <t>Check-out &amp; Transfer</t>
  </si>
  <si>
    <t>Flight Back</t>
  </si>
  <si>
    <t>Souvenir Shopping</t>
  </si>
  <si>
    <t>Rest/Free Time</t>
  </si>
  <si>
    <t>Travel</t>
  </si>
  <si>
    <t>Stay</t>
  </si>
  <si>
    <t>Food</t>
  </si>
  <si>
    <t>IGI Airport</t>
  </si>
  <si>
    <t>Ubud</t>
  </si>
  <si>
    <t>Bebek Tepi Sawah</t>
  </si>
  <si>
    <t>Ubud Hotel</t>
  </si>
  <si>
    <t>Tegalalang</t>
  </si>
  <si>
    <t>Seminyak</t>
  </si>
  <si>
    <t>Seminyak Beach</t>
  </si>
  <si>
    <t>Tanah Lot</t>
  </si>
  <si>
    <t>Seminyak Hotel</t>
  </si>
  <si>
    <t>Kuta</t>
  </si>
  <si>
    <t>Hotel</t>
  </si>
  <si>
    <t>Nusa Lembongan</t>
  </si>
  <si>
    <t>Jimbaran</t>
  </si>
  <si>
    <t>South Bali</t>
  </si>
  <si>
    <t>Airport</t>
  </si>
  <si>
    <t>Bali Airport</t>
  </si>
  <si>
    <t>Airport Shop</t>
  </si>
  <si>
    <t>Aanya</t>
  </si>
  <si>
    <t>Rohan</t>
  </si>
  <si>
    <t>Meera</t>
  </si>
  <si>
    <t>Ishan</t>
  </si>
  <si>
    <t>All</t>
  </si>
  <si>
    <t>Booked</t>
  </si>
  <si>
    <t>Planned</t>
  </si>
  <si>
    <t>Cancelled</t>
  </si>
  <si>
    <t>Remarks</t>
  </si>
  <si>
    <t>Grand Total</t>
  </si>
  <si>
    <t>Sum of Cost/Person</t>
  </si>
  <si>
    <t>Total cost per person</t>
  </si>
  <si>
    <t>Average cost per person</t>
  </si>
  <si>
    <t>Average of Cost/Person</t>
  </si>
  <si>
    <t>Budget</t>
  </si>
  <si>
    <t>Difference</t>
  </si>
  <si>
    <t>Total Expense(5 people)</t>
  </si>
  <si>
    <t>Days</t>
  </si>
  <si>
    <t>Travel Planner with Budget &amp; Itinerary Tracker</t>
  </si>
  <si>
    <t>Sum of Cost/Person2</t>
  </si>
  <si>
    <t>TRIP STARTS IN (WORKING DAYS)</t>
  </si>
  <si>
    <t>Trip Analysis</t>
  </si>
  <si>
    <t xml:space="preserve">Find the total cost of the Acivity </t>
  </si>
  <si>
    <t>Total Travellers =</t>
  </si>
  <si>
    <t>Cost</t>
  </si>
  <si>
    <t>Find Location of Activity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</si>
</sst>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8" x14ac:knownFonts="1">
    <font>
      <sz val="11"/>
      <color theme="1"/>
      <name val="Calibri"/>
      <family val="2"/>
      <scheme val="minor"/>
    </font>
    <font>
      <b/>
      <sz val="11"/>
      <color theme="1"/>
      <name val="Calibri"/>
      <family val="2"/>
      <scheme val="minor"/>
    </font>
    <font>
      <b/>
      <sz val="11"/>
      <color theme="1"/>
      <name val="Calibri"/>
      <scheme val="minor"/>
    </font>
    <font>
      <b/>
      <sz val="11"/>
      <color theme="0"/>
      <name val="Calibri"/>
      <family val="2"/>
      <scheme val="minor"/>
    </font>
    <font>
      <b/>
      <sz val="22"/>
      <color theme="0"/>
      <name val="Calibri"/>
      <family val="2"/>
      <scheme val="minor"/>
    </font>
    <font>
      <b/>
      <sz val="18"/>
      <color theme="0"/>
      <name val="Calibri"/>
      <family val="2"/>
      <scheme val="minor"/>
    </font>
    <font>
      <b/>
      <sz val="12"/>
      <color theme="0"/>
      <name val="Calibri"/>
      <family val="2"/>
      <scheme val="minor"/>
    </font>
    <font>
      <b/>
      <sz val="28"/>
      <color theme="0"/>
      <name val="Calibri"/>
      <family val="2"/>
      <scheme val="minor"/>
    </font>
  </fonts>
  <fills count="9">
    <fill>
      <patternFill patternType="none"/>
    </fill>
    <fill>
      <patternFill patternType="gray125"/>
    </fill>
    <fill>
      <patternFill patternType="solid">
        <fgColor theme="6"/>
        <bgColor theme="6"/>
      </patternFill>
    </fill>
    <fill>
      <patternFill patternType="solid">
        <fgColor theme="6" tint="0.59999389629810485"/>
        <bgColor theme="6" tint="0.59999389629810485"/>
      </patternFill>
    </fill>
    <fill>
      <patternFill patternType="solid">
        <fgColor theme="7" tint="-0.249977111117893"/>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79998168889431442"/>
        <bgColor indexed="64"/>
      </patternFill>
    </fill>
    <fill>
      <patternFill patternType="solid">
        <fgColor theme="7" tint="0.39997558519241921"/>
        <bgColor indexed="64"/>
      </patternFill>
    </fill>
  </fills>
  <borders count="11">
    <border>
      <left/>
      <right/>
      <top/>
      <bottom/>
      <diagonal/>
    </border>
    <border>
      <left style="thin">
        <color auto="1"/>
      </left>
      <right style="thin">
        <color auto="1"/>
      </right>
      <top/>
      <bottom style="thin">
        <color auto="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style="thin">
        <color theme="7" tint="0.39997558519241921"/>
      </top>
      <bottom/>
      <diagonal/>
    </border>
    <border>
      <left style="thin">
        <color theme="7" tint="0.39997558519241921"/>
      </left>
      <right/>
      <top style="thin">
        <color theme="7" tint="0.39997558519241921"/>
      </top>
      <bottom/>
      <diagonal/>
    </border>
    <border>
      <left/>
      <right style="thin">
        <color theme="7" tint="0.39997558519241921"/>
      </right>
      <top style="thin">
        <color theme="7" tint="0.39997558519241921"/>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3" fillId="2" borderId="0" xfId="0" applyFont="1" applyFill="1" applyBorder="1" applyAlignment="1">
      <alignment horizontal="left"/>
    </xf>
    <xf numFmtId="0" fontId="3" fillId="2" borderId="2" xfId="0" applyFont="1" applyFill="1" applyBorder="1"/>
    <xf numFmtId="0" fontId="0" fillId="0" borderId="7" xfId="0" applyFont="1" applyBorder="1"/>
    <xf numFmtId="0" fontId="0" fillId="0" borderId="5" xfId="0" applyFont="1" applyBorder="1" applyAlignment="1">
      <alignment horizontal="left"/>
    </xf>
    <xf numFmtId="164" fontId="0" fillId="3" borderId="3" xfId="0" applyNumberFormat="1" applyFont="1" applyFill="1" applyBorder="1"/>
    <xf numFmtId="164" fontId="0" fillId="3" borderId="4" xfId="0" applyNumberFormat="1" applyFont="1" applyFill="1" applyBorder="1"/>
    <xf numFmtId="164" fontId="0" fillId="0" borderId="0" xfId="0" applyNumberFormat="1"/>
    <xf numFmtId="164" fontId="0" fillId="0" borderId="6" xfId="0" applyNumberFormat="1" applyFont="1" applyBorder="1"/>
    <xf numFmtId="0" fontId="3" fillId="5" borderId="9" xfId="0" applyFont="1" applyFill="1" applyBorder="1" applyAlignment="1">
      <alignment horizontal="left"/>
    </xf>
    <xf numFmtId="0" fontId="3" fillId="5" borderId="8" xfId="0" applyFont="1" applyFill="1" applyBorder="1"/>
    <xf numFmtId="0" fontId="3" fillId="5" borderId="10" xfId="0" applyFont="1" applyFill="1" applyBorder="1"/>
    <xf numFmtId="0" fontId="0" fillId="6" borderId="9" xfId="0" applyFont="1" applyFill="1" applyBorder="1" applyAlignment="1">
      <alignment horizontal="left"/>
    </xf>
    <xf numFmtId="2" fontId="0" fillId="6" borderId="10" xfId="0" applyNumberFormat="1" applyFont="1" applyFill="1" applyBorder="1"/>
    <xf numFmtId="0" fontId="0" fillId="0" borderId="9" xfId="0" applyFont="1" applyBorder="1" applyAlignment="1">
      <alignment horizontal="left"/>
    </xf>
    <xf numFmtId="2" fontId="0" fillId="0" borderId="10" xfId="0" applyNumberFormat="1" applyFont="1" applyBorder="1"/>
    <xf numFmtId="164" fontId="0" fillId="6" borderId="8" xfId="0" applyNumberFormat="1" applyFont="1" applyFill="1" applyBorder="1"/>
    <xf numFmtId="164" fontId="0" fillId="0" borderId="8" xfId="0" applyNumberFormat="1" applyFont="1" applyBorder="1"/>
    <xf numFmtId="0" fontId="0" fillId="7" borderId="0" xfId="0" applyFill="1"/>
    <xf numFmtId="0" fontId="6" fillId="4" borderId="0" xfId="0" applyFont="1" applyFill="1"/>
    <xf numFmtId="0" fontId="3" fillId="8" borderId="0" xfId="0" applyFont="1" applyFill="1"/>
    <xf numFmtId="0" fontId="1" fillId="6" borderId="6" xfId="0" applyFont="1" applyFill="1" applyBorder="1"/>
    <xf numFmtId="0" fontId="1" fillId="7" borderId="0" xfId="0" applyFont="1" applyFill="1"/>
    <xf numFmtId="0" fontId="6" fillId="4" borderId="0" xfId="0" applyFont="1" applyFill="1" applyAlignment="1">
      <alignment horizontal="center"/>
    </xf>
    <xf numFmtId="0" fontId="6" fillId="4" borderId="0" xfId="0" applyFont="1" applyFill="1" applyAlignment="1">
      <alignment horizontal="left"/>
    </xf>
    <xf numFmtId="0" fontId="4" fillId="4" borderId="0" xfId="0" applyFont="1" applyFill="1" applyAlignment="1">
      <alignment horizontal="center" vertical="center"/>
    </xf>
    <xf numFmtId="0" fontId="5"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applyAlignment="1">
      <alignment horizontal="center" vertical="center"/>
    </xf>
  </cellXfs>
  <cellStyles count="1">
    <cellStyle name="Normal" xfId="0" builtinId="0"/>
  </cellStyles>
  <dxfs count="8">
    <dxf>
      <numFmt numFmtId="0" formatCode="General"/>
    </dxf>
    <dxf>
      <numFmt numFmtId="164" formatCode="&quot;₹&quot;\ #,##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5"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[Travel_Planner_Budget_Itinerary_Tracker.xlsx]Trip Analysis!PivotTable1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Daily Trip Expenses by Category</a:t>
            </a:r>
            <a:endParaRPr lang="en-IN" b="1"/>
          </a:p>
        </c:rich>
      </c:tx>
      <c:layout/>
      <c:overlay val="0"/>
      <c:spPr>
        <a:noFill/>
        <a:ln w="12700">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stacked"/>
        <c:varyColors val="0"/>
        <c:ser>
          <c:idx val="0"/>
          <c:order val="0"/>
          <c:tx>
            <c:strRef>
              <c:f>'Trip Analysis'!$B$3:$B$4</c:f>
              <c:strCache>
                <c:ptCount val="1"/>
                <c:pt idx="0">
                  <c:v>Activity</c:v>
                </c:pt>
              </c:strCache>
            </c:strRef>
          </c:tx>
          <c:spPr>
            <a:solidFill>
              <a:schemeClr val="accent1"/>
            </a:solidFill>
            <a:ln>
              <a:noFill/>
            </a:ln>
            <a:effectLst/>
          </c:spPr>
          <c:invertIfNegative val="0"/>
          <c:cat>
            <c:strRef>
              <c:f>'Trip Analysis'!$A$5:$A$12</c:f>
              <c:strCache>
                <c:ptCount val="7"/>
                <c:pt idx="0">
                  <c:v>Day 1</c:v>
                </c:pt>
                <c:pt idx="1">
                  <c:v>Day 2</c:v>
                </c:pt>
                <c:pt idx="2">
                  <c:v>Day 3</c:v>
                </c:pt>
                <c:pt idx="3">
                  <c:v>Day 4</c:v>
                </c:pt>
                <c:pt idx="4">
                  <c:v>Day 5</c:v>
                </c:pt>
                <c:pt idx="5">
                  <c:v>Day 6</c:v>
                </c:pt>
                <c:pt idx="6">
                  <c:v>Day 7</c:v>
                </c:pt>
              </c:strCache>
            </c:strRef>
          </c:cat>
          <c:val>
            <c:numRef>
              <c:f>'Trip Analysis'!$B$5:$B$12</c:f>
              <c:numCache>
                <c:formatCode>General</c:formatCode>
                <c:ptCount val="7"/>
                <c:pt idx="0">
                  <c:v>0</c:v>
                </c:pt>
                <c:pt idx="1">
                  <c:v>2300</c:v>
                </c:pt>
                <c:pt idx="2">
                  <c:v>500</c:v>
                </c:pt>
                <c:pt idx="3">
                  <c:v>2400</c:v>
                </c:pt>
                <c:pt idx="4">
                  <c:v>2500</c:v>
                </c:pt>
                <c:pt idx="5">
                  <c:v>3000</c:v>
                </c:pt>
                <c:pt idx="6">
                  <c:v>1700</c:v>
                </c:pt>
              </c:numCache>
            </c:numRef>
          </c:val>
        </c:ser>
        <c:ser>
          <c:idx val="1"/>
          <c:order val="1"/>
          <c:tx>
            <c:strRef>
              <c:f>'Trip Analysis'!$C$3:$C$4</c:f>
              <c:strCache>
                <c:ptCount val="1"/>
                <c:pt idx="0">
                  <c:v>Food</c:v>
                </c:pt>
              </c:strCache>
            </c:strRef>
          </c:tx>
          <c:spPr>
            <a:solidFill>
              <a:schemeClr val="accent2"/>
            </a:solidFill>
            <a:ln>
              <a:noFill/>
            </a:ln>
            <a:effectLst/>
          </c:spPr>
          <c:invertIfNegative val="0"/>
          <c:cat>
            <c:strRef>
              <c:f>'Trip Analysis'!$A$5:$A$12</c:f>
              <c:strCache>
                <c:ptCount val="7"/>
                <c:pt idx="0">
                  <c:v>Day 1</c:v>
                </c:pt>
                <c:pt idx="1">
                  <c:v>Day 2</c:v>
                </c:pt>
                <c:pt idx="2">
                  <c:v>Day 3</c:v>
                </c:pt>
                <c:pt idx="3">
                  <c:v>Day 4</c:v>
                </c:pt>
                <c:pt idx="4">
                  <c:v>Day 5</c:v>
                </c:pt>
                <c:pt idx="5">
                  <c:v>Day 6</c:v>
                </c:pt>
                <c:pt idx="6">
                  <c:v>Day 7</c:v>
                </c:pt>
              </c:strCache>
            </c:strRef>
          </c:cat>
          <c:val>
            <c:numRef>
              <c:f>'Trip Analysis'!$C$5:$C$12</c:f>
              <c:numCache>
                <c:formatCode>General</c:formatCode>
                <c:ptCount val="7"/>
                <c:pt idx="0">
                  <c:v>1200</c:v>
                </c:pt>
                <c:pt idx="1">
                  <c:v>600</c:v>
                </c:pt>
                <c:pt idx="2">
                  <c:v>0</c:v>
                </c:pt>
                <c:pt idx="3">
                  <c:v>1000</c:v>
                </c:pt>
                <c:pt idx="4">
                  <c:v>1200</c:v>
                </c:pt>
                <c:pt idx="5">
                  <c:v>1800</c:v>
                </c:pt>
                <c:pt idx="6">
                  <c:v>0</c:v>
                </c:pt>
              </c:numCache>
            </c:numRef>
          </c:val>
        </c:ser>
        <c:ser>
          <c:idx val="2"/>
          <c:order val="2"/>
          <c:tx>
            <c:strRef>
              <c:f>'Trip Analysis'!$D$3:$D$4</c:f>
              <c:strCache>
                <c:ptCount val="1"/>
                <c:pt idx="0">
                  <c:v>Stay</c:v>
                </c:pt>
              </c:strCache>
            </c:strRef>
          </c:tx>
          <c:spPr>
            <a:solidFill>
              <a:schemeClr val="accent3"/>
            </a:solidFill>
            <a:ln>
              <a:noFill/>
            </a:ln>
            <a:effectLst/>
          </c:spPr>
          <c:invertIfNegative val="0"/>
          <c:cat>
            <c:strRef>
              <c:f>'Trip Analysis'!$A$5:$A$12</c:f>
              <c:strCache>
                <c:ptCount val="7"/>
                <c:pt idx="0">
                  <c:v>Day 1</c:v>
                </c:pt>
                <c:pt idx="1">
                  <c:v>Day 2</c:v>
                </c:pt>
                <c:pt idx="2">
                  <c:v>Day 3</c:v>
                </c:pt>
                <c:pt idx="3">
                  <c:v>Day 4</c:v>
                </c:pt>
                <c:pt idx="4">
                  <c:v>Day 5</c:v>
                </c:pt>
                <c:pt idx="5">
                  <c:v>Day 6</c:v>
                </c:pt>
                <c:pt idx="6">
                  <c:v>Day 7</c:v>
                </c:pt>
              </c:strCache>
            </c:strRef>
          </c:cat>
          <c:val>
            <c:numRef>
              <c:f>'Trip Analysis'!$D$5:$D$12</c:f>
              <c:numCache>
                <c:formatCode>General</c:formatCode>
                <c:ptCount val="7"/>
                <c:pt idx="0">
                  <c:v>7000</c:v>
                </c:pt>
                <c:pt idx="1">
                  <c:v>7000</c:v>
                </c:pt>
                <c:pt idx="2">
                  <c:v>8000</c:v>
                </c:pt>
                <c:pt idx="3">
                  <c:v>8000</c:v>
                </c:pt>
                <c:pt idx="4">
                  <c:v>8000</c:v>
                </c:pt>
                <c:pt idx="5">
                  <c:v>8000</c:v>
                </c:pt>
              </c:numCache>
            </c:numRef>
          </c:val>
        </c:ser>
        <c:ser>
          <c:idx val="3"/>
          <c:order val="3"/>
          <c:tx>
            <c:strRef>
              <c:f>'Trip Analysis'!$E$3:$E$4</c:f>
              <c:strCache>
                <c:ptCount val="1"/>
                <c:pt idx="0">
                  <c:v>Travel</c:v>
                </c:pt>
              </c:strCache>
            </c:strRef>
          </c:tx>
          <c:spPr>
            <a:solidFill>
              <a:schemeClr val="accent4"/>
            </a:solidFill>
            <a:ln>
              <a:noFill/>
            </a:ln>
            <a:effectLst/>
          </c:spPr>
          <c:invertIfNegative val="0"/>
          <c:cat>
            <c:strRef>
              <c:f>'Trip Analysis'!$A$5:$A$12</c:f>
              <c:strCache>
                <c:ptCount val="7"/>
                <c:pt idx="0">
                  <c:v>Day 1</c:v>
                </c:pt>
                <c:pt idx="1">
                  <c:v>Day 2</c:v>
                </c:pt>
                <c:pt idx="2">
                  <c:v>Day 3</c:v>
                </c:pt>
                <c:pt idx="3">
                  <c:v>Day 4</c:v>
                </c:pt>
                <c:pt idx="4">
                  <c:v>Day 5</c:v>
                </c:pt>
                <c:pt idx="5">
                  <c:v>Day 6</c:v>
                </c:pt>
                <c:pt idx="6">
                  <c:v>Day 7</c:v>
                </c:pt>
              </c:strCache>
            </c:strRef>
          </c:cat>
          <c:val>
            <c:numRef>
              <c:f>'Trip Analysis'!$E$5:$E$12</c:f>
              <c:numCache>
                <c:formatCode>General</c:formatCode>
                <c:ptCount val="7"/>
                <c:pt idx="0">
                  <c:v>25000</c:v>
                </c:pt>
                <c:pt idx="2">
                  <c:v>2000</c:v>
                </c:pt>
                <c:pt idx="5">
                  <c:v>1000</c:v>
                </c:pt>
                <c:pt idx="6">
                  <c:v>27000</c:v>
                </c:pt>
              </c:numCache>
            </c:numRef>
          </c:val>
        </c:ser>
        <c:dLbls>
          <c:showLegendKey val="0"/>
          <c:showVal val="0"/>
          <c:showCatName val="0"/>
          <c:showSerName val="0"/>
          <c:showPercent val="0"/>
          <c:showBubbleSize val="0"/>
        </c:dLbls>
        <c:gapWidth val="150"/>
        <c:overlap val="100"/>
        <c:axId val="287714720"/>
        <c:axId val="287723352"/>
      </c:barChart>
      <c:catAx>
        <c:axId val="2877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23352"/>
        <c:crosses val="autoZero"/>
        <c:auto val="1"/>
        <c:lblAlgn val="ctr"/>
        <c:lblOffset val="100"/>
        <c:noMultiLvlLbl val="0"/>
      </c:catAx>
      <c:valAx>
        <c:axId val="287723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714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[Travel_Planner_Budget_Itinerary_Tracker.xlsx]Trip Analysis!PivotTable4</c:name>
    <c:fmtId val="9"/>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i="0" u="none" strike="noStrike" baseline="0"/>
              <a:t>Total and Average Cost per Person by Category</a:t>
            </a:r>
            <a:endParaRPr lang="en-IN" sz="1100" b="1"/>
          </a:p>
        </c:rich>
      </c:tx>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s>
    <c:plotArea>
      <c:layout/>
      <c:barChart>
        <c:barDir val="col"/>
        <c:grouping val="clustered"/>
        <c:varyColors val="0"/>
        <c:ser>
          <c:idx val="0"/>
          <c:order val="0"/>
          <c:tx>
            <c:strRef>
              <c:f>'Trip Analysis'!$I$3</c:f>
              <c:strCache>
                <c:ptCount val="1"/>
                <c:pt idx="0">
                  <c:v>Average of Cost/Person</c:v>
                </c:pt>
              </c:strCache>
            </c:strRef>
          </c:tx>
          <c:spPr>
            <a:solidFill>
              <a:schemeClr val="accent4">
                <a:shade val="76000"/>
              </a:schemeClr>
            </a:solidFill>
            <a:ln>
              <a:noFill/>
            </a:ln>
            <a:effectLst/>
          </c:spPr>
          <c:invertIfNegative val="0"/>
          <c:cat>
            <c:strRef>
              <c:f>'Trip Analysis'!$H$4:$H$8</c:f>
              <c:strCache>
                <c:ptCount val="4"/>
                <c:pt idx="0">
                  <c:v>Activity</c:v>
                </c:pt>
                <c:pt idx="1">
                  <c:v>Food</c:v>
                </c:pt>
                <c:pt idx="2">
                  <c:v>Stay</c:v>
                </c:pt>
                <c:pt idx="3">
                  <c:v>Travel</c:v>
                </c:pt>
              </c:strCache>
            </c:strRef>
          </c:cat>
          <c:val>
            <c:numRef>
              <c:f>'Trip Analysis'!$I$4:$I$8</c:f>
              <c:numCache>
                <c:formatCode>General</c:formatCode>
                <c:ptCount val="4"/>
                <c:pt idx="0">
                  <c:v>885.71428571428567</c:v>
                </c:pt>
                <c:pt idx="1">
                  <c:v>527.27272727272725</c:v>
                </c:pt>
                <c:pt idx="2">
                  <c:v>7666.666666666667</c:v>
                </c:pt>
                <c:pt idx="3">
                  <c:v>11000</c:v>
                </c:pt>
              </c:numCache>
            </c:numRef>
          </c:val>
        </c:ser>
        <c:ser>
          <c:idx val="1"/>
          <c:order val="1"/>
          <c:tx>
            <c:strRef>
              <c:f>'Trip Analysis'!$J$3</c:f>
              <c:strCache>
                <c:ptCount val="1"/>
                <c:pt idx="0">
                  <c:v>Sum of Cost/Person2</c:v>
                </c:pt>
              </c:strCache>
            </c:strRef>
          </c:tx>
          <c:spPr>
            <a:solidFill>
              <a:schemeClr val="accent4">
                <a:tint val="77000"/>
              </a:schemeClr>
            </a:solidFill>
            <a:ln>
              <a:noFill/>
            </a:ln>
            <a:effectLst/>
          </c:spPr>
          <c:invertIfNegative val="0"/>
          <c:cat>
            <c:strRef>
              <c:f>'Trip Analysis'!$H$4:$H$8</c:f>
              <c:strCache>
                <c:ptCount val="4"/>
                <c:pt idx="0">
                  <c:v>Activity</c:v>
                </c:pt>
                <c:pt idx="1">
                  <c:v>Food</c:v>
                </c:pt>
                <c:pt idx="2">
                  <c:v>Stay</c:v>
                </c:pt>
                <c:pt idx="3">
                  <c:v>Travel</c:v>
                </c:pt>
              </c:strCache>
            </c:strRef>
          </c:cat>
          <c:val>
            <c:numRef>
              <c:f>'Trip Analysis'!$J$4:$J$8</c:f>
              <c:numCache>
                <c:formatCode>General</c:formatCode>
                <c:ptCount val="4"/>
                <c:pt idx="0">
                  <c:v>12400</c:v>
                </c:pt>
                <c:pt idx="1">
                  <c:v>5800</c:v>
                </c:pt>
                <c:pt idx="2">
                  <c:v>46000</c:v>
                </c:pt>
                <c:pt idx="3">
                  <c:v>55000</c:v>
                </c:pt>
              </c:numCache>
            </c:numRef>
          </c:val>
        </c:ser>
        <c:dLbls>
          <c:showLegendKey val="0"/>
          <c:showVal val="0"/>
          <c:showCatName val="0"/>
          <c:showSerName val="0"/>
          <c:showPercent val="0"/>
          <c:showBubbleSize val="0"/>
        </c:dLbls>
        <c:gapWidth val="219"/>
        <c:overlap val="-27"/>
        <c:axId val="222391624"/>
        <c:axId val="287165024"/>
      </c:barChart>
      <c:catAx>
        <c:axId val="222391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165024"/>
        <c:crosses val="autoZero"/>
        <c:auto val="1"/>
        <c:lblAlgn val="ctr"/>
        <c:lblOffset val="100"/>
        <c:noMultiLvlLbl val="0"/>
      </c:catAx>
      <c:valAx>
        <c:axId val="28716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916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'Trip Analysis'!$B$14</c:f>
              <c:strCache>
                <c:ptCount val="1"/>
                <c:pt idx="0">
                  <c:v>Total cost per person</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Pt>
            <c:idx val="3"/>
            <c:bubble3D val="0"/>
            <c:spPr>
              <a:solidFill>
                <a:schemeClr val="accent4"/>
              </a:solidFill>
              <a:ln w="19050">
                <a:noFill/>
              </a:ln>
              <a:effectLst/>
            </c:spPr>
          </c:dPt>
          <c:cat>
            <c:strRef>
              <c:f>'Trip Analysis'!$A$15:$A$18</c:f>
              <c:strCache>
                <c:ptCount val="4"/>
                <c:pt idx="0">
                  <c:v>Activity</c:v>
                </c:pt>
                <c:pt idx="1">
                  <c:v>Food</c:v>
                </c:pt>
                <c:pt idx="2">
                  <c:v>Stay</c:v>
                </c:pt>
                <c:pt idx="3">
                  <c:v>Travel</c:v>
                </c:pt>
              </c:strCache>
            </c:strRef>
          </c:cat>
          <c:val>
            <c:numRef>
              <c:f>'Trip Analysis'!$B$15:$B$18</c:f>
              <c:numCache>
                <c:formatCode>"₹"\ #,##0.00</c:formatCode>
                <c:ptCount val="4"/>
                <c:pt idx="0">
                  <c:v>12400</c:v>
                </c:pt>
                <c:pt idx="1">
                  <c:v>5800</c:v>
                </c:pt>
                <c:pt idx="2">
                  <c:v>46000</c:v>
                </c:pt>
                <c:pt idx="3">
                  <c:v>55000</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jpe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77320</xdr:rowOff>
    </xdr:from>
    <xdr:to>
      <xdr:col>14</xdr:col>
      <xdr:colOff>12700</xdr:colOff>
      <xdr:row>30</xdr:row>
      <xdr:rowOff>20170</xdr:rowOff>
    </xdr:to>
    <xdr:sp macro="" textlink="">
      <xdr:nvSpPr>
        <xdr:cNvPr id="19" name="Rectangle 18"/>
        <xdr:cNvSpPr/>
      </xdr:nvSpPr>
      <xdr:spPr>
        <a:xfrm>
          <a:off x="0" y="3252320"/>
          <a:ext cx="9029700" cy="2370791"/>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88900</xdr:rowOff>
    </xdr:from>
    <xdr:to>
      <xdr:col>14</xdr:col>
      <xdr:colOff>6350</xdr:colOff>
      <xdr:row>4</xdr:row>
      <xdr:rowOff>133350</xdr:rowOff>
    </xdr:to>
    <xdr:sp macro="" textlink="">
      <xdr:nvSpPr>
        <xdr:cNvPr id="4" name="Rectangle 3"/>
        <xdr:cNvSpPr/>
      </xdr:nvSpPr>
      <xdr:spPr>
        <a:xfrm>
          <a:off x="0" y="641350"/>
          <a:ext cx="8540750" cy="228600"/>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139700</xdr:rowOff>
    </xdr:from>
    <xdr:to>
      <xdr:col>3</xdr:col>
      <xdr:colOff>146050</xdr:colOff>
      <xdr:row>17</xdr:row>
      <xdr:rowOff>82550</xdr:rowOff>
    </xdr:to>
    <xdr:sp macro="" textlink="">
      <xdr:nvSpPr>
        <xdr:cNvPr id="5" name="Rectangle 4"/>
        <xdr:cNvSpPr/>
      </xdr:nvSpPr>
      <xdr:spPr>
        <a:xfrm>
          <a:off x="0" y="876300"/>
          <a:ext cx="1974850" cy="2336800"/>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131108</xdr:colOff>
      <xdr:row>4</xdr:row>
      <xdr:rowOff>139700</xdr:rowOff>
    </xdr:from>
    <xdr:to>
      <xdr:col>13</xdr:col>
      <xdr:colOff>603996</xdr:colOff>
      <xdr:row>17</xdr:row>
      <xdr:rowOff>82550</xdr:rowOff>
    </xdr:to>
    <xdr:sp macro="" textlink="">
      <xdr:nvSpPr>
        <xdr:cNvPr id="6" name="Rectangle 5"/>
        <xdr:cNvSpPr/>
      </xdr:nvSpPr>
      <xdr:spPr>
        <a:xfrm>
          <a:off x="1968873" y="886759"/>
          <a:ext cx="6598770" cy="2370791"/>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50801</xdr:colOff>
      <xdr:row>18</xdr:row>
      <xdr:rowOff>165100</xdr:rowOff>
    </xdr:from>
    <xdr:to>
      <xdr:col>5</xdr:col>
      <xdr:colOff>330200</xdr:colOff>
      <xdr:row>28</xdr:row>
      <xdr:rowOff>88900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14</xdr:col>
      <xdr:colOff>12700</xdr:colOff>
      <xdr:row>3</xdr:row>
      <xdr:rowOff>95250</xdr:rowOff>
    </xdr:to>
    <xdr:sp macro="" textlink="">
      <xdr:nvSpPr>
        <xdr:cNvPr id="10" name="Rectangle 9"/>
        <xdr:cNvSpPr/>
      </xdr:nvSpPr>
      <xdr:spPr>
        <a:xfrm>
          <a:off x="0" y="0"/>
          <a:ext cx="8547100" cy="647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rPr>
            <a:t>Travel Budget</a:t>
          </a:r>
        </a:p>
      </xdr:txBody>
    </xdr:sp>
    <xdr:clientData/>
  </xdr:twoCellAnchor>
  <xdr:twoCellAnchor>
    <xdr:from>
      <xdr:col>5</xdr:col>
      <xdr:colOff>374650</xdr:colOff>
      <xdr:row>18</xdr:row>
      <xdr:rowOff>165100</xdr:rowOff>
    </xdr:from>
    <xdr:to>
      <xdr:col>11</xdr:col>
      <xdr:colOff>146050</xdr:colOff>
      <xdr:row>28</xdr:row>
      <xdr:rowOff>95250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222250</xdr:colOff>
      <xdr:row>18</xdr:row>
      <xdr:rowOff>165101</xdr:rowOff>
    </xdr:from>
    <xdr:to>
      <xdr:col>13</xdr:col>
      <xdr:colOff>527049</xdr:colOff>
      <xdr:row>28</xdr:row>
      <xdr:rowOff>95250</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21544" y="3526866"/>
              <a:ext cx="1529976" cy="1797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5</xdr:row>
      <xdr:rowOff>38100</xdr:rowOff>
    </xdr:from>
    <xdr:to>
      <xdr:col>3</xdr:col>
      <xdr:colOff>88900</xdr:colOff>
      <xdr:row>7</xdr:row>
      <xdr:rowOff>6350</xdr:rowOff>
    </xdr:to>
    <xdr:sp macro="" textlink="">
      <xdr:nvSpPr>
        <xdr:cNvPr id="13" name="TextBox 12"/>
        <xdr:cNvSpPr txBox="1"/>
      </xdr:nvSpPr>
      <xdr:spPr>
        <a:xfrm>
          <a:off x="25400" y="958850"/>
          <a:ext cx="1892300" cy="33655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Budget</a:t>
          </a:r>
        </a:p>
      </xdr:txBody>
    </xdr:sp>
    <xdr:clientData/>
  </xdr:twoCellAnchor>
  <xdr:twoCellAnchor>
    <xdr:from>
      <xdr:col>0</xdr:col>
      <xdr:colOff>31750</xdr:colOff>
      <xdr:row>6</xdr:row>
      <xdr:rowOff>133350</xdr:rowOff>
    </xdr:from>
    <xdr:to>
      <xdr:col>3</xdr:col>
      <xdr:colOff>95250</xdr:colOff>
      <xdr:row>8</xdr:row>
      <xdr:rowOff>152400</xdr:rowOff>
    </xdr:to>
    <xdr:sp macro="" textlink="'Trip Analysis'!A21">
      <xdr:nvSpPr>
        <xdr:cNvPr id="14" name="TextBox 13"/>
        <xdr:cNvSpPr txBox="1"/>
      </xdr:nvSpPr>
      <xdr:spPr>
        <a:xfrm>
          <a:off x="31750" y="1238250"/>
          <a:ext cx="1892300" cy="387350"/>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44538D-2F1C-4057-91C9-E4CF5B857AB8}" type="TxLink">
            <a:rPr lang="en-US" sz="1600" b="1" i="0" u="none" strike="noStrike">
              <a:solidFill>
                <a:srgbClr val="000000"/>
              </a:solidFill>
              <a:latin typeface="Calibri"/>
              <a:ea typeface="Calibri"/>
              <a:cs typeface="Calibri"/>
            </a:rPr>
            <a:pPr algn="ctr"/>
            <a:t>₹ 6,00,000.00</a:t>
          </a:fld>
          <a:endParaRPr lang="en-IN" sz="1600" b="1"/>
        </a:p>
      </xdr:txBody>
    </xdr:sp>
    <xdr:clientData/>
  </xdr:twoCellAnchor>
  <xdr:twoCellAnchor>
    <xdr:from>
      <xdr:col>0</xdr:col>
      <xdr:colOff>0</xdr:colOff>
      <xdr:row>8</xdr:row>
      <xdr:rowOff>165100</xdr:rowOff>
    </xdr:from>
    <xdr:to>
      <xdr:col>3</xdr:col>
      <xdr:colOff>101600</xdr:colOff>
      <xdr:row>10</xdr:row>
      <xdr:rowOff>114300</xdr:rowOff>
    </xdr:to>
    <xdr:sp macro="" textlink="">
      <xdr:nvSpPr>
        <xdr:cNvPr id="15" name="TextBox 14"/>
        <xdr:cNvSpPr txBox="1"/>
      </xdr:nvSpPr>
      <xdr:spPr>
        <a:xfrm>
          <a:off x="0" y="1638300"/>
          <a:ext cx="1930400" cy="31750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Total Expsenes</a:t>
          </a:r>
        </a:p>
      </xdr:txBody>
    </xdr:sp>
    <xdr:clientData/>
  </xdr:twoCellAnchor>
  <xdr:twoCellAnchor>
    <xdr:from>
      <xdr:col>0</xdr:col>
      <xdr:colOff>25400</xdr:colOff>
      <xdr:row>10</xdr:row>
      <xdr:rowOff>50800</xdr:rowOff>
    </xdr:from>
    <xdr:to>
      <xdr:col>3</xdr:col>
      <xdr:colOff>88900</xdr:colOff>
      <xdr:row>12</xdr:row>
      <xdr:rowOff>82550</xdr:rowOff>
    </xdr:to>
    <xdr:sp macro="" textlink="'Trip Analysis'!B21">
      <xdr:nvSpPr>
        <xdr:cNvPr id="16" name="TextBox 15"/>
        <xdr:cNvSpPr txBox="1"/>
      </xdr:nvSpPr>
      <xdr:spPr>
        <a:xfrm>
          <a:off x="25400" y="1892300"/>
          <a:ext cx="1892300" cy="400050"/>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58118C-AF17-4C60-9600-C418A664027F}" type="TxLink">
            <a:rPr lang="en-US" sz="1600" b="1" i="0" u="none" strike="noStrike">
              <a:solidFill>
                <a:srgbClr val="000000"/>
              </a:solidFill>
              <a:latin typeface="Calibri"/>
              <a:ea typeface="Calibri"/>
              <a:cs typeface="Calibri"/>
            </a:rPr>
            <a:pPr algn="ctr"/>
            <a:t>₹ 5,96,000.00</a:t>
          </a:fld>
          <a:endParaRPr lang="en-IN" sz="1600" b="1"/>
        </a:p>
      </xdr:txBody>
    </xdr:sp>
    <xdr:clientData/>
  </xdr:twoCellAnchor>
  <xdr:twoCellAnchor>
    <xdr:from>
      <xdr:col>0</xdr:col>
      <xdr:colOff>0</xdr:colOff>
      <xdr:row>12</xdr:row>
      <xdr:rowOff>76200</xdr:rowOff>
    </xdr:from>
    <xdr:to>
      <xdr:col>3</xdr:col>
      <xdr:colOff>95250</xdr:colOff>
      <xdr:row>15</xdr:row>
      <xdr:rowOff>107950</xdr:rowOff>
    </xdr:to>
    <xdr:sp macro="" textlink="">
      <xdr:nvSpPr>
        <xdr:cNvPr id="17" name="TextBox 16"/>
        <xdr:cNvSpPr txBox="1"/>
      </xdr:nvSpPr>
      <xdr:spPr>
        <a:xfrm>
          <a:off x="0" y="2286000"/>
          <a:ext cx="1924050" cy="58420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Difference</a:t>
          </a:r>
        </a:p>
      </xdr:txBody>
    </xdr:sp>
    <xdr:clientData/>
  </xdr:twoCellAnchor>
  <xdr:twoCellAnchor>
    <xdr:from>
      <xdr:col>0</xdr:col>
      <xdr:colOff>25400</xdr:colOff>
      <xdr:row>13</xdr:row>
      <xdr:rowOff>152400</xdr:rowOff>
    </xdr:from>
    <xdr:to>
      <xdr:col>3</xdr:col>
      <xdr:colOff>88900</xdr:colOff>
      <xdr:row>15</xdr:row>
      <xdr:rowOff>127000</xdr:rowOff>
    </xdr:to>
    <xdr:sp macro="" textlink="'Trip Analysis'!C21">
      <xdr:nvSpPr>
        <xdr:cNvPr id="18" name="TextBox 17"/>
        <xdr:cNvSpPr txBox="1"/>
      </xdr:nvSpPr>
      <xdr:spPr>
        <a:xfrm>
          <a:off x="25400" y="2546350"/>
          <a:ext cx="1892300" cy="342900"/>
        </a:xfrm>
        <a:prstGeom prst="rect">
          <a:avLst/>
        </a:prstGeom>
        <a:solidFill>
          <a:schemeClr val="lt1"/>
        </a:solidFill>
        <a:ln w="9525" cmpd="sng">
          <a:solidFill>
            <a:schemeClr val="lt1">
              <a:shade val="50000"/>
            </a:schemeClr>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B585B6-25B3-4FE1-BF65-F6DA4C76BC8C}" type="TxLink">
            <a:rPr lang="en-US" sz="1600" b="1" i="0" u="none" strike="noStrike">
              <a:solidFill>
                <a:srgbClr val="000000"/>
              </a:solidFill>
              <a:latin typeface="Calibri"/>
              <a:ea typeface="Calibri"/>
              <a:cs typeface="Calibri"/>
            </a:rPr>
            <a:pPr algn="ctr"/>
            <a:t>₹ 4,000.00</a:t>
          </a:fld>
          <a:endParaRPr lang="en-IN" sz="1600" b="1"/>
        </a:p>
      </xdr:txBody>
    </xdr:sp>
    <xdr:clientData/>
  </xdr:twoCellAnchor>
  <xdr:twoCellAnchor>
    <xdr:from>
      <xdr:col>0</xdr:col>
      <xdr:colOff>0</xdr:colOff>
      <xdr:row>17</xdr:row>
      <xdr:rowOff>76200</xdr:rowOff>
    </xdr:from>
    <xdr:to>
      <xdr:col>14</xdr:col>
      <xdr:colOff>6350</xdr:colOff>
      <xdr:row>18</xdr:row>
      <xdr:rowOff>120650</xdr:rowOff>
    </xdr:to>
    <xdr:sp macro="" textlink="">
      <xdr:nvSpPr>
        <xdr:cNvPr id="20" name="Rectangle 19"/>
        <xdr:cNvSpPr/>
      </xdr:nvSpPr>
      <xdr:spPr>
        <a:xfrm>
          <a:off x="0" y="3251200"/>
          <a:ext cx="8582585" cy="231215"/>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Analysis of the Trip</a:t>
          </a:r>
        </a:p>
      </xdr:txBody>
    </xdr:sp>
    <xdr:clientData/>
  </xdr:twoCellAnchor>
  <xdr:twoCellAnchor>
    <xdr:from>
      <xdr:col>8</xdr:col>
      <xdr:colOff>964827</xdr:colOff>
      <xdr:row>5</xdr:row>
      <xdr:rowOff>81803</xdr:rowOff>
    </xdr:from>
    <xdr:to>
      <xdr:col>12</xdr:col>
      <xdr:colOff>567765</xdr:colOff>
      <xdr:row>16</xdr:row>
      <xdr:rowOff>138953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444500</xdr:colOff>
      <xdr:row>0</xdr:row>
      <xdr:rowOff>177800</xdr:rowOff>
    </xdr:from>
    <xdr:to>
      <xdr:col>5</xdr:col>
      <xdr:colOff>171450</xdr:colOff>
      <xdr:row>2</xdr:row>
      <xdr:rowOff>146050</xdr:rowOff>
    </xdr:to>
    <xdr:pic>
      <xdr:nvPicPr>
        <xdr:cNvPr id="2" name="Picture 1"/>
        <xdr:cNvPicPr>
          <a:picLocks noChangeAspect="1"/>
        </xdr:cNvPicPr>
      </xdr:nvPicPr>
      <xdr:blipFill>
        <a:blip xmlns:r="http://schemas.openxmlformats.org/officeDocument/2006/relationships" r:embed="rId4"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2882900" y="177800"/>
          <a:ext cx="336550" cy="336550"/>
        </a:xfrm>
        <a:prstGeom prst="rect">
          <a:avLst/>
        </a:prstGeom>
      </xdr:spPr>
    </xdr:pic>
    <xdr:clientData/>
  </xdr:twoCellAnchor>
  <xdr:twoCellAnchor editAs="oneCell">
    <xdr:from>
      <xdr:col>5</xdr:col>
      <xdr:colOff>190500</xdr:colOff>
      <xdr:row>0</xdr:row>
      <xdr:rowOff>111878</xdr:rowOff>
    </xdr:from>
    <xdr:to>
      <xdr:col>6</xdr:col>
      <xdr:colOff>82550</xdr:colOff>
      <xdr:row>3</xdr:row>
      <xdr:rowOff>60451</xdr:rowOff>
    </xdr:to>
    <xdr:pic>
      <xdr:nvPicPr>
        <xdr:cNvPr id="3" name="Picture 2"/>
        <xdr:cNvPicPr>
          <a:picLocks noChangeAspect="1"/>
        </xdr:cNvPicPr>
      </xdr:nvPicPr>
      <xdr:blipFill>
        <a:blip xmlns:r="http://schemas.openxmlformats.org/officeDocument/2006/relationships" r:embed="rId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238500" y="111878"/>
          <a:ext cx="501650" cy="501023"/>
        </a:xfrm>
        <a:prstGeom prst="rect">
          <a:avLst/>
        </a:prstGeom>
      </xdr:spPr>
    </xdr:pic>
    <xdr:clientData/>
  </xdr:twoCellAnchor>
  <xdr:twoCellAnchor editAs="oneCell">
    <xdr:from>
      <xdr:col>6</xdr:col>
      <xdr:colOff>88900</xdr:colOff>
      <xdr:row>0</xdr:row>
      <xdr:rowOff>151096</xdr:rowOff>
    </xdr:from>
    <xdr:to>
      <xdr:col>6</xdr:col>
      <xdr:colOff>444500</xdr:colOff>
      <xdr:row>2</xdr:row>
      <xdr:rowOff>164307</xdr:rowOff>
    </xdr:to>
    <xdr:pic>
      <xdr:nvPicPr>
        <xdr:cNvPr id="7" name="Picture 6"/>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746500" y="151096"/>
          <a:ext cx="355600" cy="381511"/>
        </a:xfrm>
        <a:prstGeom prst="rect">
          <a:avLst/>
        </a:prstGeom>
      </xdr:spPr>
    </xdr:pic>
    <xdr:clientData/>
  </xdr:twoCellAnchor>
  <xdr:twoCellAnchor>
    <xdr:from>
      <xdr:col>7</xdr:col>
      <xdr:colOff>392579</xdr:colOff>
      <xdr:row>0</xdr:row>
      <xdr:rowOff>159871</xdr:rowOff>
    </xdr:from>
    <xdr:to>
      <xdr:col>11</xdr:col>
      <xdr:colOff>201705</xdr:colOff>
      <xdr:row>3</xdr:row>
      <xdr:rowOff>26521</xdr:rowOff>
    </xdr:to>
    <xdr:sp macro="" textlink="">
      <xdr:nvSpPr>
        <xdr:cNvPr id="9" name="TextBox 8"/>
        <xdr:cNvSpPr txBox="1"/>
      </xdr:nvSpPr>
      <xdr:spPr>
        <a:xfrm>
          <a:off x="4680697" y="159871"/>
          <a:ext cx="2259479" cy="4269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Trip</a:t>
          </a:r>
          <a:r>
            <a:rPr lang="en-IN" sz="1400" b="1" baseline="0"/>
            <a:t> Start in(working days)=</a:t>
          </a:r>
          <a:endParaRPr lang="en-IN" sz="1400" b="1"/>
        </a:p>
      </xdr:txBody>
    </xdr:sp>
    <xdr:clientData/>
  </xdr:twoCellAnchor>
  <xdr:twoCellAnchor>
    <xdr:from>
      <xdr:col>11</xdr:col>
      <xdr:colOff>164353</xdr:colOff>
      <xdr:row>0</xdr:row>
      <xdr:rowOff>149412</xdr:rowOff>
    </xdr:from>
    <xdr:to>
      <xdr:col>11</xdr:col>
      <xdr:colOff>567765</xdr:colOff>
      <xdr:row>2</xdr:row>
      <xdr:rowOff>156883</xdr:rowOff>
    </xdr:to>
    <xdr:sp macro="" textlink="">
      <xdr:nvSpPr>
        <xdr:cNvPr id="23" name="Oval 22"/>
        <xdr:cNvSpPr/>
      </xdr:nvSpPr>
      <xdr:spPr>
        <a:xfrm>
          <a:off x="6902824" y="149412"/>
          <a:ext cx="403412" cy="381000"/>
        </a:xfrm>
        <a:prstGeom prst="ellipse">
          <a:avLst/>
        </a:prstGeom>
        <a:solidFill>
          <a:schemeClr val="accent4">
            <a:lumMod val="60000"/>
            <a:lumOff val="40000"/>
          </a:schemeClr>
        </a:solid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171450</xdr:colOff>
      <xdr:row>0</xdr:row>
      <xdr:rowOff>146050</xdr:rowOff>
    </xdr:from>
    <xdr:to>
      <xdr:col>12</xdr:col>
      <xdr:colOff>19050</xdr:colOff>
      <xdr:row>2</xdr:row>
      <xdr:rowOff>139700</xdr:rowOff>
    </xdr:to>
    <xdr:sp macro="" textlink="'Trip Data '!J1">
      <xdr:nvSpPr>
        <xdr:cNvPr id="22" name="TextBox 21"/>
        <xdr:cNvSpPr txBox="1"/>
      </xdr:nvSpPr>
      <xdr:spPr>
        <a:xfrm>
          <a:off x="6877050" y="146050"/>
          <a:ext cx="4572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227C7E-3E06-4435-B8AB-368FEDBAA0FD}" type="TxLink">
            <a:rPr lang="en-US" sz="1800" b="1" i="0" u="none" strike="noStrike">
              <a:solidFill>
                <a:schemeClr val="bg1"/>
              </a:solidFill>
              <a:latin typeface="Calibri"/>
              <a:ea typeface="Calibri"/>
              <a:cs typeface="Calibri"/>
            </a:rPr>
            <a:pPr/>
            <a:t>25</a:t>
          </a:fld>
          <a:endParaRPr lang="en-IN" sz="1200" b="1">
            <a:solidFill>
              <a:schemeClr val="bg1"/>
            </a:solidFill>
          </a:endParaRPr>
        </a:p>
      </xdr:txBody>
    </xdr:sp>
    <xdr:clientData/>
  </xdr:twoCellAnchor>
  <xdr:twoCellAnchor>
    <xdr:from>
      <xdr:col>3</xdr:col>
      <xdr:colOff>306296</xdr:colOff>
      <xdr:row>6</xdr:row>
      <xdr:rowOff>112061</xdr:rowOff>
    </xdr:from>
    <xdr:to>
      <xdr:col>4</xdr:col>
      <xdr:colOff>455706</xdr:colOff>
      <xdr:row>7</xdr:row>
      <xdr:rowOff>171823</xdr:rowOff>
    </xdr:to>
    <xdr:sp macro="" textlink="">
      <xdr:nvSpPr>
        <xdr:cNvPr id="25" name="TextBox 24"/>
        <xdr:cNvSpPr txBox="1"/>
      </xdr:nvSpPr>
      <xdr:spPr>
        <a:xfrm>
          <a:off x="2144061" y="1232649"/>
          <a:ext cx="761998" cy="246527"/>
        </a:xfrm>
        <a:prstGeom prst="rect">
          <a:avLst/>
        </a:prstGeom>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Activity</a:t>
          </a:r>
        </a:p>
      </xdr:txBody>
    </xdr:sp>
    <xdr:clientData/>
  </xdr:twoCellAnchor>
  <xdr:twoCellAnchor>
    <xdr:from>
      <xdr:col>3</xdr:col>
      <xdr:colOff>301812</xdr:colOff>
      <xdr:row>8</xdr:row>
      <xdr:rowOff>62752</xdr:rowOff>
    </xdr:from>
    <xdr:to>
      <xdr:col>4</xdr:col>
      <xdr:colOff>448235</xdr:colOff>
      <xdr:row>9</xdr:row>
      <xdr:rowOff>141941</xdr:rowOff>
    </xdr:to>
    <xdr:sp macro="" textlink="">
      <xdr:nvSpPr>
        <xdr:cNvPr id="26" name="TextBox 25"/>
        <xdr:cNvSpPr txBox="1"/>
      </xdr:nvSpPr>
      <xdr:spPr>
        <a:xfrm>
          <a:off x="2139577" y="1556870"/>
          <a:ext cx="759011" cy="265953"/>
        </a:xfrm>
        <a:prstGeom prst="rect">
          <a:avLst/>
        </a:prstGeom>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Travel</a:t>
          </a:r>
        </a:p>
      </xdr:txBody>
    </xdr:sp>
    <xdr:clientData/>
  </xdr:twoCellAnchor>
  <xdr:twoCellAnchor>
    <xdr:from>
      <xdr:col>3</xdr:col>
      <xdr:colOff>289859</xdr:colOff>
      <xdr:row>10</xdr:row>
      <xdr:rowOff>50800</xdr:rowOff>
    </xdr:from>
    <xdr:to>
      <xdr:col>4</xdr:col>
      <xdr:colOff>448235</xdr:colOff>
      <xdr:row>11</xdr:row>
      <xdr:rowOff>119528</xdr:rowOff>
    </xdr:to>
    <xdr:sp macro="" textlink="">
      <xdr:nvSpPr>
        <xdr:cNvPr id="27" name="TextBox 26"/>
        <xdr:cNvSpPr txBox="1"/>
      </xdr:nvSpPr>
      <xdr:spPr>
        <a:xfrm>
          <a:off x="2127624" y="1918447"/>
          <a:ext cx="770964" cy="255493"/>
        </a:xfrm>
        <a:prstGeom prst="rect">
          <a:avLst/>
        </a:prstGeom>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Stay</a:t>
          </a:r>
        </a:p>
      </xdr:txBody>
    </xdr:sp>
    <xdr:clientData/>
  </xdr:twoCellAnchor>
  <xdr:twoCellAnchor>
    <xdr:from>
      <xdr:col>3</xdr:col>
      <xdr:colOff>285374</xdr:colOff>
      <xdr:row>12</xdr:row>
      <xdr:rowOff>61258</xdr:rowOff>
    </xdr:from>
    <xdr:to>
      <xdr:col>4</xdr:col>
      <xdr:colOff>440765</xdr:colOff>
      <xdr:row>13</xdr:row>
      <xdr:rowOff>119528</xdr:rowOff>
    </xdr:to>
    <xdr:sp macro="" textlink="">
      <xdr:nvSpPr>
        <xdr:cNvPr id="28" name="TextBox 27"/>
        <xdr:cNvSpPr txBox="1"/>
      </xdr:nvSpPr>
      <xdr:spPr>
        <a:xfrm>
          <a:off x="2123139" y="2302434"/>
          <a:ext cx="767979" cy="245035"/>
        </a:xfrm>
        <a:prstGeom prst="rect">
          <a:avLst/>
        </a:prstGeom>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Food</a:t>
          </a:r>
        </a:p>
        <a:p>
          <a:endParaRPr lang="en-IN" sz="1400" b="1">
            <a:solidFill>
              <a:schemeClr val="bg1"/>
            </a:solidFill>
          </a:endParaRPr>
        </a:p>
      </xdr:txBody>
    </xdr:sp>
    <xdr:clientData/>
  </xdr:twoCellAnchor>
  <xdr:twoCellAnchor>
    <xdr:from>
      <xdr:col>5</xdr:col>
      <xdr:colOff>85166</xdr:colOff>
      <xdr:row>6</xdr:row>
      <xdr:rowOff>115048</xdr:rowOff>
    </xdr:from>
    <xdr:to>
      <xdr:col>7</xdr:col>
      <xdr:colOff>291353</xdr:colOff>
      <xdr:row>8</xdr:row>
      <xdr:rowOff>0</xdr:rowOff>
    </xdr:to>
    <xdr:sp macro="" textlink="'Trip Analysis'!B15">
      <xdr:nvSpPr>
        <xdr:cNvPr id="29" name="TextBox 28"/>
        <xdr:cNvSpPr txBox="1"/>
      </xdr:nvSpPr>
      <xdr:spPr>
        <a:xfrm>
          <a:off x="3148107" y="1235636"/>
          <a:ext cx="1431364" cy="258482"/>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91D642-582F-429B-B2DC-234CE8810A47}" type="TxLink">
            <a:rPr lang="en-US" sz="1200" b="1" i="0" u="none" strike="noStrike">
              <a:solidFill>
                <a:srgbClr val="000000"/>
              </a:solidFill>
              <a:latin typeface="Calibri"/>
              <a:ea typeface="Calibri"/>
              <a:cs typeface="Calibri"/>
            </a:rPr>
            <a:pPr/>
            <a:t>₹ 12,400.00</a:t>
          </a:fld>
          <a:endParaRPr lang="en-IN" sz="1400" b="1"/>
        </a:p>
      </xdr:txBody>
    </xdr:sp>
    <xdr:clientData/>
  </xdr:twoCellAnchor>
  <xdr:twoCellAnchor>
    <xdr:from>
      <xdr:col>5</xdr:col>
      <xdr:colOff>65743</xdr:colOff>
      <xdr:row>8</xdr:row>
      <xdr:rowOff>58270</xdr:rowOff>
    </xdr:from>
    <xdr:to>
      <xdr:col>7</xdr:col>
      <xdr:colOff>261470</xdr:colOff>
      <xdr:row>9</xdr:row>
      <xdr:rowOff>171824</xdr:rowOff>
    </xdr:to>
    <xdr:sp macro="" textlink="'Trip Analysis'!B18">
      <xdr:nvSpPr>
        <xdr:cNvPr id="30" name="TextBox 29"/>
        <xdr:cNvSpPr txBox="1"/>
      </xdr:nvSpPr>
      <xdr:spPr>
        <a:xfrm>
          <a:off x="3128684" y="1552388"/>
          <a:ext cx="1420904" cy="300318"/>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1A1A0C-CF51-4E82-BE83-7F96403C5840}" type="TxLink">
            <a:rPr lang="en-US" sz="1200" b="1" i="0" u="none" strike="noStrike">
              <a:solidFill>
                <a:srgbClr val="000000"/>
              </a:solidFill>
              <a:latin typeface="Calibri"/>
              <a:ea typeface="Calibri"/>
              <a:cs typeface="Calibri"/>
            </a:rPr>
            <a:pPr/>
            <a:t>₹ 55,000.00</a:t>
          </a:fld>
          <a:endParaRPr lang="en-IN" sz="1400" b="1"/>
        </a:p>
      </xdr:txBody>
    </xdr:sp>
    <xdr:clientData/>
  </xdr:twoCellAnchor>
  <xdr:twoCellAnchor>
    <xdr:from>
      <xdr:col>5</xdr:col>
      <xdr:colOff>61261</xdr:colOff>
      <xdr:row>10</xdr:row>
      <xdr:rowOff>46317</xdr:rowOff>
    </xdr:from>
    <xdr:to>
      <xdr:col>7</xdr:col>
      <xdr:colOff>246529</xdr:colOff>
      <xdr:row>11</xdr:row>
      <xdr:rowOff>156882</xdr:rowOff>
    </xdr:to>
    <xdr:sp macro="" textlink="'Trip Analysis'!B17">
      <xdr:nvSpPr>
        <xdr:cNvPr id="31" name="TextBox 30"/>
        <xdr:cNvSpPr txBox="1"/>
      </xdr:nvSpPr>
      <xdr:spPr>
        <a:xfrm>
          <a:off x="3124202" y="1913964"/>
          <a:ext cx="1410445" cy="297330"/>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E8576C-88E7-4B79-A9BC-D12E9D91AD3B}" type="TxLink">
            <a:rPr lang="en-US" sz="1200" b="1" i="0" u="none" strike="noStrike">
              <a:solidFill>
                <a:srgbClr val="000000"/>
              </a:solidFill>
              <a:latin typeface="Calibri"/>
              <a:ea typeface="Calibri"/>
              <a:cs typeface="Calibri"/>
            </a:rPr>
            <a:pPr/>
            <a:t>₹ 46,000.00</a:t>
          </a:fld>
          <a:endParaRPr lang="en-IN" sz="1400" b="1"/>
        </a:p>
      </xdr:txBody>
    </xdr:sp>
    <xdr:clientData/>
  </xdr:twoCellAnchor>
  <xdr:twoCellAnchor>
    <xdr:from>
      <xdr:col>5</xdr:col>
      <xdr:colOff>64249</xdr:colOff>
      <xdr:row>12</xdr:row>
      <xdr:rowOff>34367</xdr:rowOff>
    </xdr:from>
    <xdr:to>
      <xdr:col>7</xdr:col>
      <xdr:colOff>239058</xdr:colOff>
      <xdr:row>13</xdr:row>
      <xdr:rowOff>156883</xdr:rowOff>
    </xdr:to>
    <xdr:sp macro="" textlink="'Trip Analysis'!B16">
      <xdr:nvSpPr>
        <xdr:cNvPr id="32" name="TextBox 31"/>
        <xdr:cNvSpPr txBox="1"/>
      </xdr:nvSpPr>
      <xdr:spPr>
        <a:xfrm>
          <a:off x="3127190" y="2275543"/>
          <a:ext cx="1399986" cy="309281"/>
        </a:xfrm>
        <a:prstGeom prst="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3F6541-97F5-4A89-B92D-EF174C91208A}" type="TxLink">
            <a:rPr lang="en-US" sz="1200" b="1" i="0" u="none" strike="noStrike">
              <a:solidFill>
                <a:srgbClr val="000000"/>
              </a:solidFill>
              <a:latin typeface="Calibri"/>
              <a:ea typeface="Calibri"/>
              <a:cs typeface="Calibri"/>
            </a:rPr>
            <a:pPr/>
            <a:t>₹ 5,800.00</a:t>
          </a:fld>
          <a:endParaRPr lang="en-IN" sz="1400" b="1"/>
        </a:p>
      </xdr:txBody>
    </xdr:sp>
    <xdr:clientData/>
  </xdr:twoCellAnchor>
  <xdr:twoCellAnchor>
    <xdr:from>
      <xdr:col>3</xdr:col>
      <xdr:colOff>261469</xdr:colOff>
      <xdr:row>4</xdr:row>
      <xdr:rowOff>164353</xdr:rowOff>
    </xdr:from>
    <xdr:to>
      <xdr:col>7</xdr:col>
      <xdr:colOff>388471</xdr:colOff>
      <xdr:row>6</xdr:row>
      <xdr:rowOff>44824</xdr:rowOff>
    </xdr:to>
    <xdr:sp macro="" textlink="">
      <xdr:nvSpPr>
        <xdr:cNvPr id="33" name="TextBox 32"/>
        <xdr:cNvSpPr txBox="1"/>
      </xdr:nvSpPr>
      <xdr:spPr>
        <a:xfrm>
          <a:off x="2539998" y="911412"/>
          <a:ext cx="2577355" cy="25400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Cost per person by Category</a:t>
          </a:r>
        </a:p>
      </xdr:txBody>
    </xdr:sp>
    <xdr:clientData/>
  </xdr:twoCellAnchor>
  <xdr:twoCellAnchor editAs="oneCell">
    <xdr:from>
      <xdr:col>12</xdr:col>
      <xdr:colOff>239061</xdr:colOff>
      <xdr:row>0</xdr:row>
      <xdr:rowOff>112060</xdr:rowOff>
    </xdr:from>
    <xdr:to>
      <xdr:col>13</xdr:col>
      <xdr:colOff>104588</xdr:colOff>
      <xdr:row>3</xdr:row>
      <xdr:rowOff>29882</xdr:rowOff>
    </xdr:to>
    <xdr:pic>
      <xdr:nvPicPr>
        <xdr:cNvPr id="34" name="Picture 3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50943" y="112060"/>
          <a:ext cx="478116" cy="478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107950</xdr:colOff>
      <xdr:row>14</xdr:row>
      <xdr:rowOff>38100</xdr:rowOff>
    </xdr:from>
    <xdr:to>
      <xdr:col>11</xdr:col>
      <xdr:colOff>584200</xdr:colOff>
      <xdr:row>20</xdr:row>
      <xdr:rowOff>88900</xdr:rowOff>
    </xdr:to>
    <xdr:sp macro="" textlink="">
      <xdr:nvSpPr>
        <xdr:cNvPr id="2" name="TextBox 1"/>
        <xdr:cNvSpPr txBox="1"/>
      </xdr:nvSpPr>
      <xdr:spPr>
        <a:xfrm>
          <a:off x="10534650" y="2616200"/>
          <a:ext cx="108585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NOTE:</a:t>
          </a:r>
          <a:br>
            <a:rPr lang="en-IN" sz="1100"/>
          </a:br>
          <a:r>
            <a:rPr lang="en-IN" sz="1100"/>
            <a:t>The highlighted cells</a:t>
          </a:r>
          <a:r>
            <a:rPr lang="en-IN" sz="1100" baseline="0"/>
            <a:t> represent activities or plans which need resecheduling</a:t>
          </a:r>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247650</xdr:colOff>
      <xdr:row>24</xdr:row>
      <xdr:rowOff>57150</xdr:rowOff>
    </xdr:from>
    <xdr:ext cx="184731" cy="264560"/>
    <xdr:sp macro="" textlink="">
      <xdr:nvSpPr>
        <xdr:cNvPr id="4" name="TextBox 3"/>
        <xdr:cNvSpPr txBox="1"/>
      </xdr:nvSpPr>
      <xdr:spPr>
        <a:xfrm>
          <a:off x="5937250" y="4476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838.897720601854" createdVersion="5" refreshedVersion="5" minRefreshableVersion="3" recordCount="36">
  <cacheSource type="worksheet">
    <worksheetSource name="Table1"/>
  </cacheSource>
  <cacheFields count="10">
    <cacheField name="Date" numFmtId="14">
      <sharedItems containsSemiMixedTypes="0" containsNonDate="0" containsDate="1" containsString="0" minDate="2025-08-01T00:00:00" maxDate="2025-08-08T00:00:00"/>
    </cacheField>
    <cacheField name="Day" numFmtId="0">
      <sharedItems count="7">
        <s v="Day 1"/>
        <s v="Day 2"/>
        <s v="Day 3"/>
        <s v="Day 4"/>
        <s v="Day 5"/>
        <s v="Day 6"/>
        <s v="Day 7"/>
      </sharedItems>
    </cacheField>
    <cacheField name="Time" numFmtId="0">
      <sharedItems/>
    </cacheField>
    <cacheField name="Activity" numFmtId="0">
      <sharedItems/>
    </cacheField>
    <cacheField name="Category" numFmtId="0">
      <sharedItems count="4">
        <s v="Travel"/>
        <s v="Stay"/>
        <s v="Food"/>
        <s v="Activity"/>
      </sharedItems>
    </cacheField>
    <cacheField name="Location" numFmtId="0">
      <sharedItems/>
    </cacheField>
    <cacheField name="Cost/Person" numFmtId="0">
      <sharedItems containsSemiMixedTypes="0" containsString="0" containsNumber="1" containsInteger="1" minValue="0" maxValue="25000"/>
    </cacheField>
    <cacheField name="Responsible Person" numFmtId="0">
      <sharedItems/>
    </cacheField>
    <cacheField name="Status" numFmtId="0">
      <sharedItems/>
    </cacheField>
    <cacheField name="Remark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
  <r>
    <d v="2025-08-01T00:00:00"/>
    <x v="0"/>
    <s v="Morning"/>
    <s v="Flight to Bali"/>
    <x v="0"/>
    <s v="IGI Airport"/>
    <n v="25000"/>
    <s v="Aanya"/>
    <s v="Planned"/>
    <s v="Done"/>
  </r>
  <r>
    <d v="2025-08-01T00:00:00"/>
    <x v="0"/>
    <s v="Afternoon"/>
    <s v="Check-in Hotel"/>
    <x v="1"/>
    <s v="Ubud"/>
    <n v="7000"/>
    <s v="Rohan"/>
    <s v="Booked"/>
    <s v="Done"/>
  </r>
  <r>
    <d v="2025-08-01T00:00:00"/>
    <x v="0"/>
    <s v="Evening"/>
    <s v="Welcome Dinner"/>
    <x v="2"/>
    <s v="Bebek Tepi Sawah"/>
    <n v="1200"/>
    <s v="Meera"/>
    <s v="Booked"/>
    <s v="Done"/>
  </r>
  <r>
    <d v="2025-08-01T00:00:00"/>
    <x v="0"/>
    <s v="Night"/>
    <s v="Rest/Free Time"/>
    <x v="3"/>
    <s v="Hotel"/>
    <n v="0"/>
    <s v="All"/>
    <s v="Booked"/>
    <s v="Done"/>
  </r>
  <r>
    <d v="2025-08-02T00:00:00"/>
    <x v="1"/>
    <s v="Morning"/>
    <s v="Monkey Forest Visit"/>
    <x v="3"/>
    <s v="Ubud"/>
    <n v="800"/>
    <s v="Ishan"/>
    <s v="Planned"/>
    <s v="Done"/>
  </r>
  <r>
    <d v="2025-08-02T00:00:00"/>
    <x v="1"/>
    <s v="Noon"/>
    <s v="Lunch @ Warung Biah Biah"/>
    <x v="2"/>
    <s v="Ubud"/>
    <n v="600"/>
    <s v="Aanya"/>
    <s v="Planned"/>
    <s v="Done"/>
  </r>
  <r>
    <d v="2025-08-02T00:00:00"/>
    <x v="1"/>
    <s v="Evening"/>
    <s v="Balinese Cooking Class"/>
    <x v="3"/>
    <s v="Ubud"/>
    <n v="1500"/>
    <s v="Meera"/>
    <s v="Planned"/>
    <s v="Done"/>
  </r>
  <r>
    <d v="2025-08-02T00:00:00"/>
    <x v="1"/>
    <s v="Night"/>
    <s v="Hotel Stay"/>
    <x v="1"/>
    <s v="Ubud"/>
    <n v="7000"/>
    <s v="Rohan"/>
    <s v="Planned"/>
    <s v="Done"/>
  </r>
  <r>
    <d v="2025-08-02T00:00:00"/>
    <x v="1"/>
    <s v="Breakfast"/>
    <s v="Hotel Breakfast"/>
    <x v="2"/>
    <s v="Ubud Hotel"/>
    <n v="0"/>
    <s v="Rohan"/>
    <s v="Booked"/>
    <s v="Done"/>
  </r>
  <r>
    <d v="2025-08-03T00:00:00"/>
    <x v="2"/>
    <s v="Morning"/>
    <s v="Rice Terrace Trek"/>
    <x v="3"/>
    <s v="Tegalalang"/>
    <n v="500"/>
    <s v="Ishan"/>
    <s v="Planned"/>
    <s v="Done"/>
  </r>
  <r>
    <d v="2025-08-03T00:00:00"/>
    <x v="2"/>
    <s v="Afternoon"/>
    <s v="Transfer to Seminyak"/>
    <x v="0"/>
    <s v="Seminyak"/>
    <n v="2000"/>
    <s v="Aanya"/>
    <s v="Planned"/>
    <s v="Done"/>
  </r>
  <r>
    <d v="2025-08-03T00:00:00"/>
    <x v="2"/>
    <s v="Night"/>
    <s v="Hotel Stay"/>
    <x v="1"/>
    <s v="Seminyak"/>
    <n v="8000"/>
    <s v="Rohan"/>
    <s v="Booked"/>
    <s v="Done"/>
  </r>
  <r>
    <d v="2025-08-03T00:00:00"/>
    <x v="2"/>
    <s v="Breakfast"/>
    <s v="Hotel Breakfast"/>
    <x v="2"/>
    <s v="Ubud Hotel"/>
    <n v="0"/>
    <s v="Rohan"/>
    <s v="Booked"/>
    <s v="Done"/>
  </r>
  <r>
    <d v="2025-08-03T00:00:00"/>
    <x v="2"/>
    <s v="Evening"/>
    <s v="Free Exploration"/>
    <x v="3"/>
    <s v="Seminyak"/>
    <n v="0"/>
    <s v="All"/>
    <s v="Booked"/>
    <s v="Done"/>
  </r>
  <r>
    <d v="2025-08-04T00:00:00"/>
    <x v="3"/>
    <s v="Morning"/>
    <s v="Surfing Lessons"/>
    <x v="3"/>
    <s v="Seminyak Beach"/>
    <n v="1800"/>
    <s v="Ishan"/>
    <s v="Planned"/>
    <s v="Done"/>
  </r>
  <r>
    <d v="2025-08-04T00:00:00"/>
    <x v="3"/>
    <s v="Noon"/>
    <s v="Lunch @ Sisterfields"/>
    <x v="2"/>
    <s v="Seminyak"/>
    <n v="1000"/>
    <s v="Meera"/>
    <s v="Cancelled"/>
    <s v="Needs rescheduling"/>
  </r>
  <r>
    <d v="2025-08-04T00:00:00"/>
    <x v="3"/>
    <s v="Evening"/>
    <s v="Sunset @ Tanah Lot"/>
    <x v="3"/>
    <s v="Tanah Lot"/>
    <n v="600"/>
    <s v="Meera"/>
    <s v="Cancelled"/>
    <s v="Needs rescheduling"/>
  </r>
  <r>
    <d v="2025-08-04T00:00:00"/>
    <x v="3"/>
    <s v="Night"/>
    <s v="Hotel Stay"/>
    <x v="1"/>
    <s v="Seminyak"/>
    <n v="8000"/>
    <s v="Rohan"/>
    <s v="Booked"/>
    <s v="Done"/>
  </r>
  <r>
    <d v="2025-08-04T00:00:00"/>
    <x v="3"/>
    <s v="Breakfast"/>
    <s v="Hotel Breakfast"/>
    <x v="2"/>
    <s v="Seminyak Hotel"/>
    <n v="0"/>
    <s v="Rohan"/>
    <s v="Planned"/>
    <s v="Done"/>
  </r>
  <r>
    <d v="2025-08-05T00:00:00"/>
    <x v="4"/>
    <s v="Morning"/>
    <s v="Beach Time"/>
    <x v="3"/>
    <s v="Seminyak Beach"/>
    <n v="0"/>
    <s v="Ishan"/>
    <s v="Booked"/>
    <s v="Done"/>
  </r>
  <r>
    <d v="2025-08-05T00:00:00"/>
    <x v="4"/>
    <s v="Afternoon"/>
    <s v="Shopping @ Beachwalk"/>
    <x v="3"/>
    <s v="Kuta"/>
    <n v="2500"/>
    <s v="Aanya"/>
    <s v="Planned"/>
    <s v="Done"/>
  </r>
  <r>
    <d v="2025-08-05T00:00:00"/>
    <x v="4"/>
    <s v="Evening"/>
    <s v="Dinner @ Motel Mexicola"/>
    <x v="2"/>
    <s v="Seminyak"/>
    <n v="1200"/>
    <s v="Meera"/>
    <s v="Planned"/>
    <s v="Done"/>
  </r>
  <r>
    <d v="2025-08-05T00:00:00"/>
    <x v="4"/>
    <s v="Night"/>
    <s v="Hotel Stay"/>
    <x v="1"/>
    <s v="Seminyak"/>
    <n v="8000"/>
    <s v="Rohan"/>
    <s v="Planned"/>
    <s v="Done"/>
  </r>
  <r>
    <d v="2025-08-05T00:00:00"/>
    <x v="4"/>
    <s v="Breakfast"/>
    <s v="Hotel Breakfast"/>
    <x v="2"/>
    <s v="Seminyak Hotel"/>
    <n v="0"/>
    <s v="Rohan"/>
    <s v="Planned"/>
    <s v="Done"/>
  </r>
  <r>
    <d v="2025-08-05T00:00:00"/>
    <x v="4"/>
    <s v="Night"/>
    <s v="Chill Night"/>
    <x v="3"/>
    <s v="Hotel"/>
    <n v="0"/>
    <s v="All"/>
    <s v="Cancelled"/>
    <s v="Needs rescheduling"/>
  </r>
  <r>
    <d v="2025-08-06T00:00:00"/>
    <x v="5"/>
    <s v="Morning"/>
    <s v="Snorkeling Day Trip"/>
    <x v="3"/>
    <s v="Nusa Lembongan"/>
    <n v="3000"/>
    <s v="Ishan"/>
    <s v="Planned"/>
    <s v="Done"/>
  </r>
  <r>
    <d v="2025-08-06T00:00:00"/>
    <x v="5"/>
    <s v="Afternoon"/>
    <s v="Snorkeling Day Trip"/>
    <x v="3"/>
    <s v="Nusa Lembongan"/>
    <n v="0"/>
    <s v="Ishan"/>
    <s v="Booked"/>
    <s v="Done"/>
  </r>
  <r>
    <d v="2025-08-06T00:00:00"/>
    <x v="5"/>
    <s v="Evening"/>
    <s v="Dinner @ Rock Bar"/>
    <x v="2"/>
    <s v="Jimbaran"/>
    <n v="1800"/>
    <s v="Meera"/>
    <s v="Planned"/>
    <s v="Done"/>
  </r>
  <r>
    <d v="2025-08-06T00:00:00"/>
    <x v="5"/>
    <s v="Night"/>
    <s v="Hotel Stay"/>
    <x v="1"/>
    <s v="Seminyak"/>
    <n v="8000"/>
    <s v="Rohan"/>
    <s v="Planned"/>
    <s v="Done"/>
  </r>
  <r>
    <d v="2025-08-06T00:00:00"/>
    <x v="5"/>
    <s v="Night"/>
    <s v="Backup Cab"/>
    <x v="0"/>
    <s v="Seminyak"/>
    <n v="1000"/>
    <s v="Aanya"/>
    <s v="Planned"/>
    <s v="Done"/>
  </r>
  <r>
    <d v="2025-08-06T00:00:00"/>
    <x v="5"/>
    <s v="Breakfast"/>
    <s v="Hotel Breakfast"/>
    <x v="2"/>
    <s v="Seminyak Hotel"/>
    <n v="0"/>
    <s v="Rohan"/>
    <s v="Planned"/>
    <s v="Done"/>
  </r>
  <r>
    <d v="2025-08-07T00:00:00"/>
    <x v="6"/>
    <s v="Morning"/>
    <s v="Visit Garuda Wisnu"/>
    <x v="3"/>
    <s v="South Bali"/>
    <n v="1000"/>
    <s v="Aanya"/>
    <s v="Planned"/>
    <s v="Done"/>
  </r>
  <r>
    <d v="2025-08-07T00:00:00"/>
    <x v="6"/>
    <s v="Noon"/>
    <s v="Check-out &amp; Transfer"/>
    <x v="0"/>
    <s v="Airport"/>
    <n v="2000"/>
    <s v="Rohan"/>
    <s v="Planned"/>
    <s v="Done"/>
  </r>
  <r>
    <d v="2025-08-07T00:00:00"/>
    <x v="6"/>
    <s v="Evening"/>
    <s v="Flight Back"/>
    <x v="0"/>
    <s v="Bali Airport"/>
    <n v="25000"/>
    <s v="Aanya"/>
    <s v="Booked"/>
    <s v="Done"/>
  </r>
  <r>
    <d v="2025-08-07T00:00:00"/>
    <x v="6"/>
    <s v="Afternoon"/>
    <s v="Souvenir Shopping"/>
    <x v="3"/>
    <s v="Airport Shop"/>
    <n v="700"/>
    <s v="Ishan"/>
    <s v="Booked"/>
    <s v="Done"/>
  </r>
  <r>
    <d v="2025-08-07T00:00:00"/>
    <x v="6"/>
    <s v="Breakfast"/>
    <s v="Hotel Breakfast"/>
    <x v="2"/>
    <s v="Seminyak Hotel"/>
    <n v="0"/>
    <s v="Rohan"/>
    <s v="Planned"/>
    <s v="D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Days" colHeaderCaption="Category">
  <location ref="H3:J8" firstHeaderRow="0" firstDataRow="1" firstDataCol="1"/>
  <pivotFields count="10">
    <pivotField numFmtId="14" showAll="0"/>
    <pivotField showAll="0">
      <items count="8">
        <item x="0"/>
        <item x="1"/>
        <item x="2"/>
        <item x="3"/>
        <item x="4"/>
        <item x="5"/>
        <item x="6"/>
        <item t="default"/>
      </items>
    </pivotField>
    <pivotField showAll="0"/>
    <pivotField showAll="0"/>
    <pivotField axis="axisRow" showAll="0">
      <items count="5">
        <item x="3"/>
        <item x="2"/>
        <item x="1"/>
        <item x="0"/>
        <item t="default"/>
      </items>
    </pivotField>
    <pivotField showAll="0"/>
    <pivotField dataField="1"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Average of Cost/Person" fld="6" subtotal="average" baseField="4" baseItem="0"/>
    <dataField name="Sum of Cost/Person2" fld="6" baseField="0" baseItem="0"/>
  </dataFields>
  <chartFormats count="10">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Days" colHeaderCaption="Category">
  <location ref="A3:F12" firstHeaderRow="1" firstDataRow="2" firstDataCol="1"/>
  <pivotFields count="10">
    <pivotField numFmtId="14" showAll="0"/>
    <pivotField axis="axisRow" showAll="0">
      <items count="8">
        <item x="0"/>
        <item x="1"/>
        <item x="2"/>
        <item x="3"/>
        <item x="4"/>
        <item x="5"/>
        <item x="6"/>
        <item t="default"/>
      </items>
    </pivotField>
    <pivotField showAll="0"/>
    <pivotField showAll="0"/>
    <pivotField axis="axisCol" showAll="0">
      <items count="5">
        <item x="3"/>
        <item x="2"/>
        <item x="1"/>
        <item x="0"/>
        <item t="default"/>
      </items>
    </pivotField>
    <pivotField showAll="0"/>
    <pivotField dataField="1" showAll="0"/>
    <pivotField showAll="0"/>
    <pivotField showAll="0"/>
    <pivotField showAll="0"/>
  </pivotFields>
  <rowFields count="1">
    <field x="1"/>
  </rowFields>
  <rowItems count="8">
    <i>
      <x/>
    </i>
    <i>
      <x v="1"/>
    </i>
    <i>
      <x v="2"/>
    </i>
    <i>
      <x v="3"/>
    </i>
    <i>
      <x v="4"/>
    </i>
    <i>
      <x v="5"/>
    </i>
    <i>
      <x v="6"/>
    </i>
    <i t="grand">
      <x/>
    </i>
  </rowItems>
  <colFields count="1">
    <field x="4"/>
  </colFields>
  <colItems count="5">
    <i>
      <x/>
    </i>
    <i>
      <x v="1"/>
    </i>
    <i>
      <x v="2"/>
    </i>
    <i>
      <x v="3"/>
    </i>
    <i t="grand">
      <x/>
    </i>
  </colItems>
  <dataFields count="1">
    <dataField name="Sum of Cost/Person" fld="6" baseField="0" baseItem="0"/>
  </dataFields>
  <chartFormats count="4">
    <chartFormat chart="3" format="8" series="1">
      <pivotArea type="data" outline="0" fieldPosition="0">
        <references count="2">
          <reference field="4294967294" count="1" selected="0">
            <x v="0"/>
          </reference>
          <reference field="4" count="1" selected="0">
            <x v="0"/>
          </reference>
        </references>
      </pivotArea>
    </chartFormat>
    <chartFormat chart="3" format="9" series="1">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 chart="3" format="11" series="1">
      <pivotArea type="data" outline="0" fieldPosition="0">
        <references count="2">
          <reference field="4294967294" count="1" selected="0">
            <x v="0"/>
          </reference>
          <reference field="4"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4"/>
    <pivotTable tabId="4" name="PivotTable1"/>
  </pivotTables>
  <data>
    <tabular pivotCacheId="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4" rowHeight="241300"/>
</slicers>
</file>

<file path=xl/tables/table1.xml><?xml version="1.0" encoding="utf-8"?>
<table xmlns="http://schemas.openxmlformats.org/spreadsheetml/2006/main" id="1" name="Table1" displayName="Table1" ref="A3:J39" totalsRowShown="0" headerRowDxfId="5" headerRowBorderDxfId="4" tableBorderDxfId="3">
  <autoFilter ref="A3:J39"/>
  <sortState ref="A4:J39">
    <sortCondition ref="B3:B39"/>
  </sortState>
  <tableColumns count="10">
    <tableColumn id="1" name="Date" dataDxfId="2"/>
    <tableColumn id="2" name="Day"/>
    <tableColumn id="3" name="Time"/>
    <tableColumn id="4" name="Activity"/>
    <tableColumn id="5" name="Category"/>
    <tableColumn id="6" name="Location"/>
    <tableColumn id="7" name="Cost/Person" dataDxfId="1"/>
    <tableColumn id="8" name="Responsible Person"/>
    <tableColumn id="9" name="Status"/>
    <tableColumn id="11" name="Remarks" dataDxfId="0">
      <calculatedColumnFormula>IF(Table1[Status]="Cancelled", "Needs rescheduling", "Done")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1:N33"/>
  <sheetViews>
    <sheetView tabSelected="1" zoomScale="85" zoomScaleNormal="85" workbookViewId="0">
      <selection activeCell="I32" sqref="I32"/>
    </sheetView>
  </sheetViews>
  <sheetFormatPr defaultRowHeight="14.5" x14ac:dyDescent="0.35"/>
  <cols>
    <col min="1" max="1" width="15.08984375" customWidth="1"/>
    <col min="4" max="4" width="8.7265625" customWidth="1"/>
    <col min="8" max="8" width="8.7265625" customWidth="1"/>
    <col min="9" max="9" width="17.6328125" customWidth="1"/>
  </cols>
  <sheetData>
    <row r="31" spans="1:14" ht="15.5" x14ac:dyDescent="0.35">
      <c r="A31" s="29" t="s">
        <v>90</v>
      </c>
      <c r="B31" s="29"/>
      <c r="C31" s="29"/>
      <c r="D31" s="25"/>
      <c r="E31" s="29" t="s">
        <v>91</v>
      </c>
      <c r="F31" s="29"/>
      <c r="G31" s="25">
        <v>5</v>
      </c>
      <c r="H31" s="25"/>
      <c r="I31" s="30" t="s">
        <v>93</v>
      </c>
      <c r="J31" s="30"/>
      <c r="K31" s="30"/>
      <c r="L31" s="30"/>
      <c r="M31" s="25"/>
      <c r="N31" s="25"/>
    </row>
    <row r="32" spans="1:14" x14ac:dyDescent="0.35">
      <c r="A32" s="26" t="s">
        <v>3</v>
      </c>
      <c r="B32" s="26" t="s">
        <v>92</v>
      </c>
      <c r="C32" s="26"/>
      <c r="D32" s="26"/>
      <c r="E32" s="26"/>
      <c r="F32" s="26"/>
      <c r="G32" s="26"/>
      <c r="H32" s="26"/>
      <c r="I32" s="26" t="s">
        <v>3</v>
      </c>
      <c r="J32" s="26" t="s">
        <v>5</v>
      </c>
      <c r="K32" s="26"/>
      <c r="L32" s="26"/>
      <c r="M32" s="26"/>
      <c r="N32" s="26"/>
    </row>
    <row r="33" spans="1:14" x14ac:dyDescent="0.35">
      <c r="A33" s="27" t="s">
        <v>30</v>
      </c>
      <c r="B33" s="28">
        <f>G31*(INDEX(Table1[Cost/Person],MATCH('Trip Dashboard'!A33,Table1[Activity],0)))</f>
        <v>2500</v>
      </c>
      <c r="C33" s="24"/>
      <c r="D33" s="24"/>
      <c r="E33" s="24"/>
      <c r="F33" s="24"/>
      <c r="G33" s="24"/>
      <c r="H33" s="24"/>
      <c r="I33" s="28" t="s">
        <v>30</v>
      </c>
      <c r="J33" s="28" t="str">
        <f>INDEX(Table1[Location],MATCH('Trip Dashboard'!I33,Table1[Activity],0))</f>
        <v>Tegalalang</v>
      </c>
      <c r="K33" s="24"/>
      <c r="L33" s="24"/>
      <c r="M33" s="24"/>
      <c r="N33" s="24"/>
    </row>
  </sheetData>
  <mergeCells count="3">
    <mergeCell ref="A31:C31"/>
    <mergeCell ref="E31:F31"/>
    <mergeCell ref="I31:L31"/>
  </mergeCells>
  <conditionalFormatting sqref="A33">
    <cfRule type="expression" dxfId="7" priority="1">
      <formula>$J33="Needs rescheduling"</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K9" sqref="K9"/>
    </sheetView>
  </sheetViews>
  <sheetFormatPr defaultRowHeight="14.5" x14ac:dyDescent="0.35"/>
  <cols>
    <col min="1" max="1" width="10.08984375" bestFit="1" customWidth="1"/>
    <col min="4" max="4" width="25.6328125" customWidth="1"/>
    <col min="5" max="5" width="19.7265625" customWidth="1"/>
    <col min="6" max="6" width="14.36328125" customWidth="1"/>
    <col min="7" max="7" width="13.1796875" customWidth="1"/>
    <col min="8" max="8" width="19" customWidth="1"/>
    <col min="9" max="9" width="11.1796875" customWidth="1"/>
    <col min="10" max="10" width="18.6328125" customWidth="1"/>
  </cols>
  <sheetData>
    <row r="1" spans="1:10" ht="14.5" customHeight="1" x14ac:dyDescent="0.35">
      <c r="A1" s="31" t="s">
        <v>86</v>
      </c>
      <c r="B1" s="31"/>
      <c r="C1" s="31"/>
      <c r="D1" s="31"/>
      <c r="E1" s="31"/>
      <c r="F1" s="31"/>
      <c r="G1" s="31"/>
      <c r="H1" s="33" t="s">
        <v>88</v>
      </c>
      <c r="I1" s="33"/>
      <c r="J1" s="32">
        <f ca="1">NETWORKDAYS(TODAY(),MIN(Table1[Date]))</f>
        <v>25</v>
      </c>
    </row>
    <row r="2" spans="1:10" ht="14.5" customHeight="1" x14ac:dyDescent="0.35">
      <c r="A2" s="31"/>
      <c r="B2" s="31"/>
      <c r="C2" s="31"/>
      <c r="D2" s="31"/>
      <c r="E2" s="31"/>
      <c r="F2" s="31"/>
      <c r="G2" s="31"/>
      <c r="H2" s="33"/>
      <c r="I2" s="33"/>
      <c r="J2" s="32"/>
    </row>
    <row r="3" spans="1:10" x14ac:dyDescent="0.35">
      <c r="A3" s="1" t="s">
        <v>0</v>
      </c>
      <c r="B3" s="1" t="s">
        <v>1</v>
      </c>
      <c r="C3" s="1" t="s">
        <v>2</v>
      </c>
      <c r="D3" s="1" t="s">
        <v>3</v>
      </c>
      <c r="E3" s="1" t="s">
        <v>4</v>
      </c>
      <c r="F3" s="1" t="s">
        <v>5</v>
      </c>
      <c r="G3" s="1" t="s">
        <v>6</v>
      </c>
      <c r="H3" s="1" t="s">
        <v>7</v>
      </c>
      <c r="I3" s="1" t="s">
        <v>8</v>
      </c>
      <c r="J3" s="2" t="s">
        <v>76</v>
      </c>
    </row>
    <row r="4" spans="1:10" x14ac:dyDescent="0.35">
      <c r="A4" s="3">
        <v>45870</v>
      </c>
      <c r="B4" t="s">
        <v>9</v>
      </c>
      <c r="C4" t="s">
        <v>16</v>
      </c>
      <c r="D4" t="s">
        <v>22</v>
      </c>
      <c r="E4" t="s">
        <v>48</v>
      </c>
      <c r="F4" t="s">
        <v>51</v>
      </c>
      <c r="G4" s="13">
        <v>25000</v>
      </c>
      <c r="H4" t="s">
        <v>68</v>
      </c>
      <c r="I4" t="s">
        <v>74</v>
      </c>
      <c r="J4" t="str">
        <f>IF(Table1[Status]="Cancelled", "Needs rescheduling", "Done")</f>
        <v>Done</v>
      </c>
    </row>
    <row r="5" spans="1:10" x14ac:dyDescent="0.35">
      <c r="A5" s="3">
        <v>45870</v>
      </c>
      <c r="B5" t="s">
        <v>9</v>
      </c>
      <c r="C5" t="s">
        <v>17</v>
      </c>
      <c r="D5" t="s">
        <v>23</v>
      </c>
      <c r="E5" t="s">
        <v>49</v>
      </c>
      <c r="F5" t="s">
        <v>52</v>
      </c>
      <c r="G5" s="13">
        <v>7000</v>
      </c>
      <c r="H5" t="s">
        <v>69</v>
      </c>
      <c r="I5" t="s">
        <v>73</v>
      </c>
      <c r="J5" t="str">
        <f>IF(Table1[Status]="Cancelled", "Needs rescheduling", "Done")</f>
        <v>Done</v>
      </c>
    </row>
    <row r="6" spans="1:10" x14ac:dyDescent="0.35">
      <c r="A6" s="3">
        <v>45870</v>
      </c>
      <c r="B6" t="s">
        <v>9</v>
      </c>
      <c r="C6" t="s">
        <v>18</v>
      </c>
      <c r="D6" t="s">
        <v>24</v>
      </c>
      <c r="E6" t="s">
        <v>50</v>
      </c>
      <c r="F6" t="s">
        <v>53</v>
      </c>
      <c r="G6" s="13">
        <v>1200</v>
      </c>
      <c r="H6" t="s">
        <v>70</v>
      </c>
      <c r="I6" t="s">
        <v>73</v>
      </c>
      <c r="J6" t="str">
        <f>IF(Table1[Status]="Cancelled", "Needs rescheduling", "Done")</f>
        <v>Done</v>
      </c>
    </row>
    <row r="7" spans="1:10" x14ac:dyDescent="0.35">
      <c r="A7" s="3">
        <v>45870</v>
      </c>
      <c r="B7" t="s">
        <v>9</v>
      </c>
      <c r="C7" t="s">
        <v>20</v>
      </c>
      <c r="D7" t="s">
        <v>47</v>
      </c>
      <c r="E7" t="s">
        <v>3</v>
      </c>
      <c r="F7" t="s">
        <v>61</v>
      </c>
      <c r="G7" s="13">
        <v>0</v>
      </c>
      <c r="H7" t="s">
        <v>72</v>
      </c>
      <c r="I7" t="s">
        <v>73</v>
      </c>
      <c r="J7" t="str">
        <f>IF(Table1[Status]="Cancelled", "Needs rescheduling", "Done")</f>
        <v>Done</v>
      </c>
    </row>
    <row r="8" spans="1:10" x14ac:dyDescent="0.35">
      <c r="A8" s="3">
        <v>45871</v>
      </c>
      <c r="B8" t="s">
        <v>10</v>
      </c>
      <c r="C8" t="s">
        <v>16</v>
      </c>
      <c r="D8" t="s">
        <v>25</v>
      </c>
      <c r="E8" t="s">
        <v>3</v>
      </c>
      <c r="F8" t="s">
        <v>52</v>
      </c>
      <c r="G8" s="13">
        <v>800</v>
      </c>
      <c r="H8" t="s">
        <v>71</v>
      </c>
      <c r="I8" t="s">
        <v>74</v>
      </c>
      <c r="J8" t="str">
        <f>IF(Table1[Status]="Cancelled", "Needs rescheduling", "Done")</f>
        <v>Done</v>
      </c>
    </row>
    <row r="9" spans="1:10" x14ac:dyDescent="0.35">
      <c r="A9" s="3">
        <v>45871</v>
      </c>
      <c r="B9" t="s">
        <v>10</v>
      </c>
      <c r="C9" t="s">
        <v>19</v>
      </c>
      <c r="D9" t="s">
        <v>26</v>
      </c>
      <c r="E9" t="s">
        <v>50</v>
      </c>
      <c r="F9" t="s">
        <v>52</v>
      </c>
      <c r="G9" s="13">
        <v>600</v>
      </c>
      <c r="H9" t="s">
        <v>68</v>
      </c>
      <c r="I9" t="s">
        <v>74</v>
      </c>
      <c r="J9" t="str">
        <f>IF(Table1[Status]="Cancelled", "Needs rescheduling", "Done")</f>
        <v>Done</v>
      </c>
    </row>
    <row r="10" spans="1:10" x14ac:dyDescent="0.35">
      <c r="A10" s="3">
        <v>45871</v>
      </c>
      <c r="B10" t="s">
        <v>10</v>
      </c>
      <c r="C10" t="s">
        <v>18</v>
      </c>
      <c r="D10" t="s">
        <v>27</v>
      </c>
      <c r="E10" t="s">
        <v>3</v>
      </c>
      <c r="F10" t="s">
        <v>52</v>
      </c>
      <c r="G10" s="13">
        <v>1500</v>
      </c>
      <c r="H10" t="s">
        <v>70</v>
      </c>
      <c r="I10" t="s">
        <v>74</v>
      </c>
      <c r="J10" t="str">
        <f>IF(Table1[Status]="Cancelled", "Needs rescheduling", "Done")</f>
        <v>Done</v>
      </c>
    </row>
    <row r="11" spans="1:10" x14ac:dyDescent="0.35">
      <c r="A11" s="3">
        <v>45871</v>
      </c>
      <c r="B11" t="s">
        <v>10</v>
      </c>
      <c r="C11" t="s">
        <v>20</v>
      </c>
      <c r="D11" t="s">
        <v>28</v>
      </c>
      <c r="E11" t="s">
        <v>49</v>
      </c>
      <c r="F11" t="s">
        <v>52</v>
      </c>
      <c r="G11" s="13">
        <v>7000</v>
      </c>
      <c r="H11" t="s">
        <v>69</v>
      </c>
      <c r="I11" t="s">
        <v>74</v>
      </c>
      <c r="J11" t="str">
        <f>IF(Table1[Status]="Cancelled", "Needs rescheduling", "Done")</f>
        <v>Done</v>
      </c>
    </row>
    <row r="12" spans="1:10" x14ac:dyDescent="0.35">
      <c r="A12" s="3">
        <v>45871</v>
      </c>
      <c r="B12" t="s">
        <v>10</v>
      </c>
      <c r="C12" t="s">
        <v>21</v>
      </c>
      <c r="D12" t="s">
        <v>29</v>
      </c>
      <c r="E12" t="s">
        <v>50</v>
      </c>
      <c r="F12" t="s">
        <v>54</v>
      </c>
      <c r="G12" s="13">
        <v>0</v>
      </c>
      <c r="H12" t="s">
        <v>69</v>
      </c>
      <c r="I12" t="s">
        <v>73</v>
      </c>
      <c r="J12" t="str">
        <f>IF(Table1[Status]="Cancelled", "Needs rescheduling", "Done")</f>
        <v>Done</v>
      </c>
    </row>
    <row r="13" spans="1:10" x14ac:dyDescent="0.35">
      <c r="A13" s="3">
        <v>45872</v>
      </c>
      <c r="B13" t="s">
        <v>11</v>
      </c>
      <c r="C13" t="s">
        <v>16</v>
      </c>
      <c r="D13" t="s">
        <v>30</v>
      </c>
      <c r="E13" t="s">
        <v>3</v>
      </c>
      <c r="F13" t="s">
        <v>55</v>
      </c>
      <c r="G13" s="13">
        <v>500</v>
      </c>
      <c r="H13" t="s">
        <v>71</v>
      </c>
      <c r="I13" t="s">
        <v>74</v>
      </c>
      <c r="J13" t="str">
        <f>IF(Table1[Status]="Cancelled", "Needs rescheduling", "Done")</f>
        <v>Done</v>
      </c>
    </row>
    <row r="14" spans="1:10" x14ac:dyDescent="0.35">
      <c r="A14" s="3">
        <v>45872</v>
      </c>
      <c r="B14" t="s">
        <v>11</v>
      </c>
      <c r="C14" t="s">
        <v>17</v>
      </c>
      <c r="D14" t="s">
        <v>31</v>
      </c>
      <c r="E14" t="s">
        <v>48</v>
      </c>
      <c r="F14" t="s">
        <v>56</v>
      </c>
      <c r="G14" s="13">
        <v>2000</v>
      </c>
      <c r="H14" t="s">
        <v>68</v>
      </c>
      <c r="I14" t="s">
        <v>74</v>
      </c>
      <c r="J14" t="str">
        <f>IF(Table1[Status]="Cancelled", "Needs rescheduling", "Done")</f>
        <v>Done</v>
      </c>
    </row>
    <row r="15" spans="1:10" x14ac:dyDescent="0.35">
      <c r="A15" s="3">
        <v>45872</v>
      </c>
      <c r="B15" t="s">
        <v>11</v>
      </c>
      <c r="C15" t="s">
        <v>20</v>
      </c>
      <c r="D15" t="s">
        <v>28</v>
      </c>
      <c r="E15" t="s">
        <v>49</v>
      </c>
      <c r="F15" t="s">
        <v>56</v>
      </c>
      <c r="G15" s="13">
        <v>8000</v>
      </c>
      <c r="H15" t="s">
        <v>69</v>
      </c>
      <c r="I15" t="s">
        <v>73</v>
      </c>
      <c r="J15" t="str">
        <f>IF(Table1[Status]="Cancelled", "Needs rescheduling", "Done")</f>
        <v>Done</v>
      </c>
    </row>
    <row r="16" spans="1:10" x14ac:dyDescent="0.35">
      <c r="A16" s="3">
        <v>45872</v>
      </c>
      <c r="B16" t="s">
        <v>11</v>
      </c>
      <c r="C16" t="s">
        <v>21</v>
      </c>
      <c r="D16" t="s">
        <v>29</v>
      </c>
      <c r="E16" t="s">
        <v>50</v>
      </c>
      <c r="F16" t="s">
        <v>54</v>
      </c>
      <c r="G16" s="13">
        <v>0</v>
      </c>
      <c r="H16" t="s">
        <v>69</v>
      </c>
      <c r="I16" t="s">
        <v>73</v>
      </c>
      <c r="J16" t="str">
        <f>IF(Table1[Status]="Cancelled", "Needs rescheduling", "Done")</f>
        <v>Done</v>
      </c>
    </row>
    <row r="17" spans="1:10" x14ac:dyDescent="0.35">
      <c r="A17" s="3">
        <v>45872</v>
      </c>
      <c r="B17" t="s">
        <v>11</v>
      </c>
      <c r="C17" t="s">
        <v>18</v>
      </c>
      <c r="D17" t="s">
        <v>32</v>
      </c>
      <c r="E17" t="s">
        <v>3</v>
      </c>
      <c r="F17" t="s">
        <v>56</v>
      </c>
      <c r="G17" s="13">
        <v>0</v>
      </c>
      <c r="H17" t="s">
        <v>72</v>
      </c>
      <c r="I17" t="s">
        <v>73</v>
      </c>
      <c r="J17" t="str">
        <f>IF(Table1[Status]="Cancelled", "Needs rescheduling", "Done")</f>
        <v>Done</v>
      </c>
    </row>
    <row r="18" spans="1:10" x14ac:dyDescent="0.35">
      <c r="A18" s="3">
        <v>45873</v>
      </c>
      <c r="B18" t="s">
        <v>12</v>
      </c>
      <c r="C18" t="s">
        <v>16</v>
      </c>
      <c r="D18" t="s">
        <v>33</v>
      </c>
      <c r="E18" t="s">
        <v>3</v>
      </c>
      <c r="F18" t="s">
        <v>57</v>
      </c>
      <c r="G18" s="13">
        <v>1800</v>
      </c>
      <c r="H18" t="s">
        <v>71</v>
      </c>
      <c r="I18" t="s">
        <v>74</v>
      </c>
      <c r="J18" t="str">
        <f>IF(Table1[Status]="Cancelled", "Needs rescheduling", "Done")</f>
        <v>Done</v>
      </c>
    </row>
    <row r="19" spans="1:10" x14ac:dyDescent="0.35">
      <c r="A19" s="3">
        <v>45873</v>
      </c>
      <c r="B19" t="s">
        <v>12</v>
      </c>
      <c r="C19" t="s">
        <v>19</v>
      </c>
      <c r="D19" t="s">
        <v>34</v>
      </c>
      <c r="E19" t="s">
        <v>50</v>
      </c>
      <c r="F19" t="s">
        <v>56</v>
      </c>
      <c r="G19" s="13">
        <v>1000</v>
      </c>
      <c r="H19" t="s">
        <v>70</v>
      </c>
      <c r="I19" t="s">
        <v>75</v>
      </c>
      <c r="J19" t="str">
        <f>IF(Table1[Status]="Cancelled", "Needs rescheduling", "Done")</f>
        <v>Needs rescheduling</v>
      </c>
    </row>
    <row r="20" spans="1:10" x14ac:dyDescent="0.35">
      <c r="A20" s="3">
        <v>45873</v>
      </c>
      <c r="B20" t="s">
        <v>12</v>
      </c>
      <c r="C20" t="s">
        <v>18</v>
      </c>
      <c r="D20" t="s">
        <v>35</v>
      </c>
      <c r="E20" t="s">
        <v>3</v>
      </c>
      <c r="F20" t="s">
        <v>58</v>
      </c>
      <c r="G20" s="13">
        <v>600</v>
      </c>
      <c r="H20" t="s">
        <v>70</v>
      </c>
      <c r="I20" t="s">
        <v>75</v>
      </c>
      <c r="J20" t="str">
        <f>IF(Table1[Status]="Cancelled", "Needs rescheduling", "Done")</f>
        <v>Needs rescheduling</v>
      </c>
    </row>
    <row r="21" spans="1:10" x14ac:dyDescent="0.35">
      <c r="A21" s="3">
        <v>45873</v>
      </c>
      <c r="B21" t="s">
        <v>12</v>
      </c>
      <c r="C21" t="s">
        <v>20</v>
      </c>
      <c r="D21" t="s">
        <v>28</v>
      </c>
      <c r="E21" t="s">
        <v>49</v>
      </c>
      <c r="F21" t="s">
        <v>56</v>
      </c>
      <c r="G21" s="13">
        <v>8000</v>
      </c>
      <c r="H21" t="s">
        <v>69</v>
      </c>
      <c r="I21" t="s">
        <v>73</v>
      </c>
      <c r="J21" t="str">
        <f>IF(Table1[Status]="Cancelled", "Needs rescheduling", "Done")</f>
        <v>Done</v>
      </c>
    </row>
    <row r="22" spans="1:10" x14ac:dyDescent="0.35">
      <c r="A22" s="3">
        <v>45873</v>
      </c>
      <c r="B22" t="s">
        <v>12</v>
      </c>
      <c r="C22" t="s">
        <v>21</v>
      </c>
      <c r="D22" t="s">
        <v>29</v>
      </c>
      <c r="E22" t="s">
        <v>50</v>
      </c>
      <c r="F22" t="s">
        <v>59</v>
      </c>
      <c r="G22" s="13">
        <v>0</v>
      </c>
      <c r="H22" t="s">
        <v>69</v>
      </c>
      <c r="I22" t="s">
        <v>74</v>
      </c>
      <c r="J22" t="str">
        <f>IF(Table1[Status]="Cancelled", "Needs rescheduling", "Done")</f>
        <v>Done</v>
      </c>
    </row>
    <row r="23" spans="1:10" x14ac:dyDescent="0.35">
      <c r="A23" s="3">
        <v>45874</v>
      </c>
      <c r="B23" t="s">
        <v>13</v>
      </c>
      <c r="C23" t="s">
        <v>16</v>
      </c>
      <c r="D23" t="s">
        <v>36</v>
      </c>
      <c r="E23" t="s">
        <v>3</v>
      </c>
      <c r="F23" t="s">
        <v>57</v>
      </c>
      <c r="G23" s="13">
        <v>0</v>
      </c>
      <c r="H23" t="s">
        <v>71</v>
      </c>
      <c r="I23" t="s">
        <v>73</v>
      </c>
      <c r="J23" t="str">
        <f>IF(Table1[Status]="Cancelled", "Needs rescheduling", "Done")</f>
        <v>Done</v>
      </c>
    </row>
    <row r="24" spans="1:10" x14ac:dyDescent="0.35">
      <c r="A24" s="3">
        <v>45874</v>
      </c>
      <c r="B24" t="s">
        <v>13</v>
      </c>
      <c r="C24" t="s">
        <v>17</v>
      </c>
      <c r="D24" t="s">
        <v>37</v>
      </c>
      <c r="E24" t="s">
        <v>3</v>
      </c>
      <c r="F24" t="s">
        <v>60</v>
      </c>
      <c r="G24" s="13">
        <v>2500</v>
      </c>
      <c r="H24" t="s">
        <v>68</v>
      </c>
      <c r="I24" t="s">
        <v>74</v>
      </c>
      <c r="J24" t="str">
        <f>IF(Table1[Status]="Cancelled", "Needs rescheduling", "Done")</f>
        <v>Done</v>
      </c>
    </row>
    <row r="25" spans="1:10" x14ac:dyDescent="0.35">
      <c r="A25" s="3">
        <v>45874</v>
      </c>
      <c r="B25" t="s">
        <v>13</v>
      </c>
      <c r="C25" t="s">
        <v>18</v>
      </c>
      <c r="D25" t="s">
        <v>38</v>
      </c>
      <c r="E25" t="s">
        <v>50</v>
      </c>
      <c r="F25" t="s">
        <v>56</v>
      </c>
      <c r="G25" s="13">
        <v>1200</v>
      </c>
      <c r="H25" t="s">
        <v>70</v>
      </c>
      <c r="I25" t="s">
        <v>74</v>
      </c>
      <c r="J25" t="str">
        <f>IF(Table1[Status]="Cancelled", "Needs rescheduling", "Done")</f>
        <v>Done</v>
      </c>
    </row>
    <row r="26" spans="1:10" x14ac:dyDescent="0.35">
      <c r="A26" s="3">
        <v>45874</v>
      </c>
      <c r="B26" t="s">
        <v>13</v>
      </c>
      <c r="C26" t="s">
        <v>20</v>
      </c>
      <c r="D26" t="s">
        <v>28</v>
      </c>
      <c r="E26" t="s">
        <v>49</v>
      </c>
      <c r="F26" t="s">
        <v>56</v>
      </c>
      <c r="G26" s="13">
        <v>8000</v>
      </c>
      <c r="H26" t="s">
        <v>69</v>
      </c>
      <c r="I26" t="s">
        <v>74</v>
      </c>
      <c r="J26" t="str">
        <f>IF(Table1[Status]="Cancelled", "Needs rescheduling", "Done")</f>
        <v>Done</v>
      </c>
    </row>
    <row r="27" spans="1:10" x14ac:dyDescent="0.35">
      <c r="A27" s="3">
        <v>45874</v>
      </c>
      <c r="B27" t="s">
        <v>13</v>
      </c>
      <c r="C27" t="s">
        <v>21</v>
      </c>
      <c r="D27" t="s">
        <v>29</v>
      </c>
      <c r="E27" t="s">
        <v>50</v>
      </c>
      <c r="F27" t="s">
        <v>59</v>
      </c>
      <c r="G27" s="13">
        <v>0</v>
      </c>
      <c r="H27" t="s">
        <v>69</v>
      </c>
      <c r="I27" t="s">
        <v>74</v>
      </c>
      <c r="J27" t="str">
        <f>IF(Table1[Status]="Cancelled", "Needs rescheduling", "Done")</f>
        <v>Done</v>
      </c>
    </row>
    <row r="28" spans="1:10" x14ac:dyDescent="0.35">
      <c r="A28" s="3">
        <v>45874</v>
      </c>
      <c r="B28" t="s">
        <v>13</v>
      </c>
      <c r="C28" t="s">
        <v>20</v>
      </c>
      <c r="D28" t="s">
        <v>39</v>
      </c>
      <c r="E28" t="s">
        <v>3</v>
      </c>
      <c r="F28" t="s">
        <v>61</v>
      </c>
      <c r="G28" s="13">
        <v>0</v>
      </c>
      <c r="H28" t="s">
        <v>72</v>
      </c>
      <c r="I28" t="s">
        <v>75</v>
      </c>
      <c r="J28" t="str">
        <f>IF(Table1[Status]="Cancelled", "Needs rescheduling", "Done")</f>
        <v>Needs rescheduling</v>
      </c>
    </row>
    <row r="29" spans="1:10" x14ac:dyDescent="0.35">
      <c r="A29" s="3">
        <v>45875</v>
      </c>
      <c r="B29" t="s">
        <v>14</v>
      </c>
      <c r="C29" t="s">
        <v>16</v>
      </c>
      <c r="D29" t="s">
        <v>40</v>
      </c>
      <c r="E29" t="s">
        <v>3</v>
      </c>
      <c r="F29" t="s">
        <v>62</v>
      </c>
      <c r="G29" s="13">
        <v>3000</v>
      </c>
      <c r="H29" t="s">
        <v>71</v>
      </c>
      <c r="I29" t="s">
        <v>74</v>
      </c>
      <c r="J29" t="str">
        <f>IF(Table1[Status]="Cancelled", "Needs rescheduling", "Done")</f>
        <v>Done</v>
      </c>
    </row>
    <row r="30" spans="1:10" x14ac:dyDescent="0.35">
      <c r="A30" s="3">
        <v>45875</v>
      </c>
      <c r="B30" t="s">
        <v>14</v>
      </c>
      <c r="C30" t="s">
        <v>17</v>
      </c>
      <c r="D30" t="s">
        <v>40</v>
      </c>
      <c r="E30" t="s">
        <v>3</v>
      </c>
      <c r="F30" t="s">
        <v>62</v>
      </c>
      <c r="G30" s="13">
        <v>0</v>
      </c>
      <c r="H30" t="s">
        <v>71</v>
      </c>
      <c r="I30" t="s">
        <v>73</v>
      </c>
      <c r="J30" t="str">
        <f>IF(Table1[Status]="Cancelled", "Needs rescheduling", "Done")</f>
        <v>Done</v>
      </c>
    </row>
    <row r="31" spans="1:10" x14ac:dyDescent="0.35">
      <c r="A31" s="3">
        <v>45875</v>
      </c>
      <c r="B31" t="s">
        <v>14</v>
      </c>
      <c r="C31" t="s">
        <v>18</v>
      </c>
      <c r="D31" t="s">
        <v>41</v>
      </c>
      <c r="E31" t="s">
        <v>50</v>
      </c>
      <c r="F31" t="s">
        <v>63</v>
      </c>
      <c r="G31" s="13">
        <v>1800</v>
      </c>
      <c r="H31" t="s">
        <v>70</v>
      </c>
      <c r="I31" t="s">
        <v>74</v>
      </c>
      <c r="J31" t="str">
        <f>IF(Table1[Status]="Cancelled", "Needs rescheduling", "Done")</f>
        <v>Done</v>
      </c>
    </row>
    <row r="32" spans="1:10" x14ac:dyDescent="0.35">
      <c r="A32" s="3">
        <v>45875</v>
      </c>
      <c r="B32" t="s">
        <v>14</v>
      </c>
      <c r="C32" t="s">
        <v>20</v>
      </c>
      <c r="D32" t="s">
        <v>28</v>
      </c>
      <c r="E32" t="s">
        <v>49</v>
      </c>
      <c r="F32" t="s">
        <v>56</v>
      </c>
      <c r="G32" s="13">
        <v>8000</v>
      </c>
      <c r="H32" t="s">
        <v>69</v>
      </c>
      <c r="I32" t="s">
        <v>74</v>
      </c>
      <c r="J32" t="str">
        <f>IF(Table1[Status]="Cancelled", "Needs rescheduling", "Done")</f>
        <v>Done</v>
      </c>
    </row>
    <row r="33" spans="1:10" x14ac:dyDescent="0.35">
      <c r="A33" s="3">
        <v>45875</v>
      </c>
      <c r="B33" t="s">
        <v>14</v>
      </c>
      <c r="C33" t="s">
        <v>20</v>
      </c>
      <c r="D33" t="s">
        <v>42</v>
      </c>
      <c r="E33" t="s">
        <v>48</v>
      </c>
      <c r="F33" t="s">
        <v>56</v>
      </c>
      <c r="G33" s="13">
        <v>1000</v>
      </c>
      <c r="H33" t="s">
        <v>68</v>
      </c>
      <c r="I33" t="s">
        <v>74</v>
      </c>
      <c r="J33" t="str">
        <f>IF(Table1[Status]="Cancelled", "Needs rescheduling", "Done")</f>
        <v>Done</v>
      </c>
    </row>
    <row r="34" spans="1:10" x14ac:dyDescent="0.35">
      <c r="A34" s="3">
        <v>45875</v>
      </c>
      <c r="B34" t="s">
        <v>14</v>
      </c>
      <c r="C34" t="s">
        <v>21</v>
      </c>
      <c r="D34" t="s">
        <v>29</v>
      </c>
      <c r="E34" t="s">
        <v>50</v>
      </c>
      <c r="F34" t="s">
        <v>59</v>
      </c>
      <c r="G34" s="13">
        <v>0</v>
      </c>
      <c r="H34" t="s">
        <v>69</v>
      </c>
      <c r="I34" t="s">
        <v>74</v>
      </c>
      <c r="J34" t="str">
        <f>IF(Table1[Status]="Cancelled", "Needs rescheduling", "Done")</f>
        <v>Done</v>
      </c>
    </row>
    <row r="35" spans="1:10" x14ac:dyDescent="0.35">
      <c r="A35" s="3">
        <v>45876</v>
      </c>
      <c r="B35" t="s">
        <v>15</v>
      </c>
      <c r="C35" t="s">
        <v>16</v>
      </c>
      <c r="D35" t="s">
        <v>43</v>
      </c>
      <c r="E35" t="s">
        <v>3</v>
      </c>
      <c r="F35" t="s">
        <v>64</v>
      </c>
      <c r="G35" s="13">
        <v>1000</v>
      </c>
      <c r="H35" t="s">
        <v>68</v>
      </c>
      <c r="I35" t="s">
        <v>74</v>
      </c>
      <c r="J35" t="str">
        <f>IF(Table1[Status]="Cancelled", "Needs rescheduling", "Done")</f>
        <v>Done</v>
      </c>
    </row>
    <row r="36" spans="1:10" x14ac:dyDescent="0.35">
      <c r="A36" s="3">
        <v>45876</v>
      </c>
      <c r="B36" t="s">
        <v>15</v>
      </c>
      <c r="C36" t="s">
        <v>19</v>
      </c>
      <c r="D36" t="s">
        <v>44</v>
      </c>
      <c r="E36" t="s">
        <v>48</v>
      </c>
      <c r="F36" t="s">
        <v>65</v>
      </c>
      <c r="G36" s="13">
        <v>2000</v>
      </c>
      <c r="H36" t="s">
        <v>69</v>
      </c>
      <c r="I36" t="s">
        <v>74</v>
      </c>
      <c r="J36" t="str">
        <f>IF(Table1[Status]="Cancelled", "Needs rescheduling", "Done")</f>
        <v>Done</v>
      </c>
    </row>
    <row r="37" spans="1:10" x14ac:dyDescent="0.35">
      <c r="A37" s="3">
        <v>45876</v>
      </c>
      <c r="B37" t="s">
        <v>15</v>
      </c>
      <c r="C37" t="s">
        <v>18</v>
      </c>
      <c r="D37" t="s">
        <v>45</v>
      </c>
      <c r="E37" t="s">
        <v>48</v>
      </c>
      <c r="F37" t="s">
        <v>66</v>
      </c>
      <c r="G37" s="13">
        <v>25000</v>
      </c>
      <c r="H37" t="s">
        <v>68</v>
      </c>
      <c r="I37" t="s">
        <v>73</v>
      </c>
      <c r="J37" t="str">
        <f>IF(Table1[Status]="Cancelled", "Needs rescheduling", "Done")</f>
        <v>Done</v>
      </c>
    </row>
    <row r="38" spans="1:10" x14ac:dyDescent="0.35">
      <c r="A38" s="3">
        <v>45876</v>
      </c>
      <c r="B38" t="s">
        <v>15</v>
      </c>
      <c r="C38" t="s">
        <v>17</v>
      </c>
      <c r="D38" t="s">
        <v>46</v>
      </c>
      <c r="E38" t="s">
        <v>3</v>
      </c>
      <c r="F38" t="s">
        <v>67</v>
      </c>
      <c r="G38" s="13">
        <v>700</v>
      </c>
      <c r="H38" t="s">
        <v>71</v>
      </c>
      <c r="I38" t="s">
        <v>73</v>
      </c>
      <c r="J38" t="str">
        <f>IF(Table1[Status]="Cancelled", "Needs rescheduling", "Done")</f>
        <v>Done</v>
      </c>
    </row>
    <row r="39" spans="1:10" x14ac:dyDescent="0.35">
      <c r="A39" s="3">
        <v>45876</v>
      </c>
      <c r="B39" t="s">
        <v>15</v>
      </c>
      <c r="C39" t="s">
        <v>21</v>
      </c>
      <c r="D39" t="s">
        <v>29</v>
      </c>
      <c r="E39" t="s">
        <v>50</v>
      </c>
      <c r="F39" t="s">
        <v>59</v>
      </c>
      <c r="G39" s="13">
        <v>0</v>
      </c>
      <c r="H39" t="s">
        <v>69</v>
      </c>
      <c r="I39" t="s">
        <v>74</v>
      </c>
      <c r="J39" t="str">
        <f>IF(Table1[Status]="Cancelled", "Needs rescheduling", "Done")</f>
        <v>Done</v>
      </c>
    </row>
  </sheetData>
  <mergeCells count="3">
    <mergeCell ref="A1:G2"/>
    <mergeCell ref="J1:J2"/>
    <mergeCell ref="H1:I2"/>
  </mergeCells>
  <conditionalFormatting sqref="A4:J39">
    <cfRule type="expression" dxfId="6" priority="1">
      <formula>$J4="Needs rescheduling"</formula>
    </cfRule>
  </conditionalFormatting>
  <dataValidations count="1">
    <dataValidation type="list" allowBlank="1" showInputMessage="1" showErrorMessage="1" errorTitle="Error" error="Please choose from the drop down menu" promptTitle="Choose from dropdown menu" sqref="I4:I39">
      <formula1>"Planned, Booked, Completed, Cancelled"</formula1>
    </dataValidation>
  </dataValidation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H11" sqref="H11"/>
    </sheetView>
  </sheetViews>
  <sheetFormatPr defaultRowHeight="14.5" x14ac:dyDescent="0.35"/>
  <cols>
    <col min="1" max="1" width="17.6328125" bestFit="1" customWidth="1"/>
    <col min="2" max="2" width="10.54296875" customWidth="1"/>
    <col min="3" max="3" width="5" customWidth="1"/>
    <col min="4" max="4" width="5.81640625" customWidth="1"/>
    <col min="5" max="5" width="5.90625" customWidth="1"/>
    <col min="6" max="8" width="10.7265625" customWidth="1"/>
    <col min="9" max="9" width="20.7265625" customWidth="1"/>
    <col min="10" max="10" width="18.6328125" bestFit="1" customWidth="1"/>
    <col min="11" max="11" width="5.90625" customWidth="1"/>
    <col min="12" max="12" width="10.7265625" bestFit="1" customWidth="1"/>
  </cols>
  <sheetData>
    <row r="1" spans="1:10" x14ac:dyDescent="0.35">
      <c r="A1" s="34" t="s">
        <v>89</v>
      </c>
      <c r="B1" s="34"/>
      <c r="C1" s="34"/>
      <c r="D1" s="34"/>
      <c r="E1" s="34"/>
      <c r="F1" s="34"/>
      <c r="G1" s="34"/>
      <c r="H1" s="34"/>
      <c r="I1" s="34"/>
      <c r="J1" s="34"/>
    </row>
    <row r="2" spans="1:10" x14ac:dyDescent="0.35">
      <c r="A2" s="34"/>
      <c r="B2" s="34"/>
      <c r="C2" s="34"/>
      <c r="D2" s="34"/>
      <c r="E2" s="34"/>
      <c r="F2" s="34"/>
      <c r="G2" s="34"/>
      <c r="H2" s="34"/>
      <c r="I2" s="34"/>
      <c r="J2" s="34"/>
    </row>
    <row r="3" spans="1:10" x14ac:dyDescent="0.35">
      <c r="A3" s="4" t="s">
        <v>78</v>
      </c>
      <c r="B3" s="4" t="s">
        <v>4</v>
      </c>
      <c r="H3" s="4" t="s">
        <v>85</v>
      </c>
      <c r="I3" t="s">
        <v>81</v>
      </c>
      <c r="J3" t="s">
        <v>87</v>
      </c>
    </row>
    <row r="4" spans="1:10" x14ac:dyDescent="0.35">
      <c r="A4" s="4" t="s">
        <v>85</v>
      </c>
      <c r="B4" t="s">
        <v>3</v>
      </c>
      <c r="C4" t="s">
        <v>50</v>
      </c>
      <c r="D4" t="s">
        <v>49</v>
      </c>
      <c r="E4" t="s">
        <v>48</v>
      </c>
      <c r="F4" t="s">
        <v>77</v>
      </c>
      <c r="H4" s="6" t="s">
        <v>3</v>
      </c>
      <c r="I4" s="5">
        <v>885.71428571428567</v>
      </c>
      <c r="J4" s="5">
        <v>12400</v>
      </c>
    </row>
    <row r="5" spans="1:10" x14ac:dyDescent="0.35">
      <c r="A5" s="6" t="s">
        <v>9</v>
      </c>
      <c r="B5" s="5">
        <v>0</v>
      </c>
      <c r="C5" s="5">
        <v>1200</v>
      </c>
      <c r="D5" s="5">
        <v>7000</v>
      </c>
      <c r="E5" s="5">
        <v>25000</v>
      </c>
      <c r="F5" s="5">
        <v>33200</v>
      </c>
      <c r="H5" s="6" t="s">
        <v>50</v>
      </c>
      <c r="I5" s="5">
        <v>527.27272727272725</v>
      </c>
      <c r="J5" s="5">
        <v>5800</v>
      </c>
    </row>
    <row r="6" spans="1:10" x14ac:dyDescent="0.35">
      <c r="A6" s="6" t="s">
        <v>10</v>
      </c>
      <c r="B6" s="5">
        <v>2300</v>
      </c>
      <c r="C6" s="5">
        <v>600</v>
      </c>
      <c r="D6" s="5">
        <v>7000</v>
      </c>
      <c r="E6" s="5"/>
      <c r="F6" s="5">
        <v>9900</v>
      </c>
      <c r="H6" s="6" t="s">
        <v>49</v>
      </c>
      <c r="I6" s="5">
        <v>7666.666666666667</v>
      </c>
      <c r="J6" s="5">
        <v>46000</v>
      </c>
    </row>
    <row r="7" spans="1:10" x14ac:dyDescent="0.35">
      <c r="A7" s="6" t="s">
        <v>11</v>
      </c>
      <c r="B7" s="5">
        <v>500</v>
      </c>
      <c r="C7" s="5">
        <v>0</v>
      </c>
      <c r="D7" s="5">
        <v>8000</v>
      </c>
      <c r="E7" s="5">
        <v>2000</v>
      </c>
      <c r="F7" s="5">
        <v>10500</v>
      </c>
      <c r="H7" s="6" t="s">
        <v>48</v>
      </c>
      <c r="I7" s="5">
        <v>11000</v>
      </c>
      <c r="J7" s="5">
        <v>55000</v>
      </c>
    </row>
    <row r="8" spans="1:10" x14ac:dyDescent="0.35">
      <c r="A8" s="6" t="s">
        <v>12</v>
      </c>
      <c r="B8" s="5">
        <v>2400</v>
      </c>
      <c r="C8" s="5">
        <v>1000</v>
      </c>
      <c r="D8" s="5">
        <v>8000</v>
      </c>
      <c r="E8" s="5"/>
      <c r="F8" s="5">
        <v>11400</v>
      </c>
      <c r="H8" s="6" t="s">
        <v>77</v>
      </c>
      <c r="I8" s="5">
        <v>3311.1111111111113</v>
      </c>
      <c r="J8" s="5">
        <v>119200</v>
      </c>
    </row>
    <row r="9" spans="1:10" x14ac:dyDescent="0.35">
      <c r="A9" s="6" t="s">
        <v>13</v>
      </c>
      <c r="B9" s="5">
        <v>2500</v>
      </c>
      <c r="C9" s="5">
        <v>1200</v>
      </c>
      <c r="D9" s="5">
        <v>8000</v>
      </c>
      <c r="E9" s="5"/>
      <c r="F9" s="5">
        <v>11700</v>
      </c>
    </row>
    <row r="10" spans="1:10" x14ac:dyDescent="0.35">
      <c r="A10" s="6" t="s">
        <v>14</v>
      </c>
      <c r="B10" s="5">
        <v>3000</v>
      </c>
      <c r="C10" s="5">
        <v>1800</v>
      </c>
      <c r="D10" s="5">
        <v>8000</v>
      </c>
      <c r="E10" s="5">
        <v>1000</v>
      </c>
      <c r="F10" s="5">
        <v>13800</v>
      </c>
    </row>
    <row r="11" spans="1:10" x14ac:dyDescent="0.35">
      <c r="A11" s="6" t="s">
        <v>15</v>
      </c>
      <c r="B11" s="5">
        <v>1700</v>
      </c>
      <c r="C11" s="5">
        <v>0</v>
      </c>
      <c r="D11" s="5"/>
      <c r="E11" s="5">
        <v>27000</v>
      </c>
      <c r="F11" s="5">
        <v>28700</v>
      </c>
    </row>
    <row r="12" spans="1:10" x14ac:dyDescent="0.35">
      <c r="A12" s="6" t="s">
        <v>77</v>
      </c>
      <c r="B12" s="5">
        <v>12400</v>
      </c>
      <c r="C12" s="5">
        <v>5800</v>
      </c>
      <c r="D12" s="5">
        <v>46000</v>
      </c>
      <c r="E12" s="5">
        <v>55000</v>
      </c>
      <c r="F12" s="5">
        <v>119200</v>
      </c>
    </row>
    <row r="14" spans="1:10" x14ac:dyDescent="0.35">
      <c r="A14" s="15" t="s">
        <v>4</v>
      </c>
      <c r="B14" s="16" t="s">
        <v>79</v>
      </c>
      <c r="C14" s="17" t="s">
        <v>80</v>
      </c>
    </row>
    <row r="15" spans="1:10" x14ac:dyDescent="0.35">
      <c r="A15" s="18" t="s">
        <v>3</v>
      </c>
      <c r="B15" s="22">
        <f>SUMIFS(Table1[Cost/Person],Table1[Category],A15)</f>
        <v>12400</v>
      </c>
      <c r="C15" s="19">
        <f>AVERAGEIFS(Table1[Cost/Person],Table1[Category],'Trip Analysis'!A15)</f>
        <v>885.71428571428567</v>
      </c>
    </row>
    <row r="16" spans="1:10" x14ac:dyDescent="0.35">
      <c r="A16" s="20" t="s">
        <v>50</v>
      </c>
      <c r="B16" s="23">
        <f>SUMIFS(Table1[Cost/Person],Table1[Category],A16)</f>
        <v>5800</v>
      </c>
      <c r="C16" s="21">
        <f>AVERAGEIFS(Table1[Cost/Person],Table1[Category],'Trip Analysis'!A16)</f>
        <v>527.27272727272725</v>
      </c>
    </row>
    <row r="17" spans="1:10" x14ac:dyDescent="0.35">
      <c r="A17" s="18" t="s">
        <v>49</v>
      </c>
      <c r="B17" s="22">
        <f>SUMIFS(Table1[Cost/Person],Table1[Category],A17)</f>
        <v>46000</v>
      </c>
      <c r="C17" s="19">
        <f>AVERAGEIFS(Table1[Cost/Person],Table1[Category],'Trip Analysis'!A17)</f>
        <v>7666.666666666667</v>
      </c>
      <c r="F17" s="6"/>
      <c r="G17" s="5"/>
      <c r="I17" s="6"/>
      <c r="J17" s="5"/>
    </row>
    <row r="18" spans="1:10" x14ac:dyDescent="0.35">
      <c r="A18" s="10" t="s">
        <v>48</v>
      </c>
      <c r="B18" s="14">
        <f>SUMIFS(Table1[Cost/Person],Table1[Category],A18)</f>
        <v>55000</v>
      </c>
      <c r="C18" s="9">
        <f>AVERAGEIFS(Table1[Cost/Person],Table1[Category],'Trip Analysis'!A18)</f>
        <v>11000</v>
      </c>
      <c r="F18" s="6"/>
      <c r="G18" s="5"/>
      <c r="I18" s="6"/>
      <c r="J18" s="5"/>
    </row>
    <row r="19" spans="1:10" x14ac:dyDescent="0.35">
      <c r="F19" s="6"/>
      <c r="G19" s="5"/>
      <c r="I19" s="6"/>
      <c r="J19" s="5"/>
    </row>
    <row r="20" spans="1:10" ht="15" thickBot="1" x14ac:dyDescent="0.4">
      <c r="A20" s="7" t="s">
        <v>82</v>
      </c>
      <c r="B20" s="8" t="s">
        <v>84</v>
      </c>
      <c r="C20" s="8" t="s">
        <v>83</v>
      </c>
      <c r="F20" s="6"/>
      <c r="G20" s="5"/>
      <c r="I20" s="6"/>
      <c r="J20" s="5"/>
    </row>
    <row r="21" spans="1:10" ht="15" thickTop="1" x14ac:dyDescent="0.35">
      <c r="A21" s="11">
        <v>600000</v>
      </c>
      <c r="B21" s="12">
        <f>5*SUM(B15:B18)</f>
        <v>596000</v>
      </c>
      <c r="C21" s="12">
        <f>A21-B21</f>
        <v>4000</v>
      </c>
      <c r="F21" s="6"/>
      <c r="G21" s="5"/>
      <c r="I21" s="6"/>
      <c r="J21" s="5"/>
    </row>
  </sheetData>
  <mergeCells count="1">
    <mergeCell ref="A1:J2"/>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Trip Dashboard</vt:lpstr>
      <vt:lpstr>Trip Data </vt:lpstr>
      <vt:lpstr>Trip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2025-06-29T07:40:24Z</dcterms:created>
  <dcterms:modified xsi:type="dcterms:W3CDTF">2025-06-30T17:59:40Z</dcterms:modified>
</cp:coreProperties>
</file>